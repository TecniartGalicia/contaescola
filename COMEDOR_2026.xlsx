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ell\Desktop\excel secretaría Raquel\2026\"/>
    </mc:Choice>
  </mc:AlternateContent>
  <xr:revisionPtr revIDLastSave="0" documentId="13_ncr:1_{A69EAEE9-09D6-452B-BBAC-141DC0AA6641}" xr6:coauthVersionLast="47" xr6:coauthVersionMax="47" xr10:uidLastSave="{00000000-0000-0000-0000-000000000000}"/>
  <bookViews>
    <workbookView xWindow="-120" yWindow="-120" windowWidth="38640" windowHeight="15840" activeTab="3" xr2:uid="{00000000-000D-0000-FFFF-FFFF00000000}"/>
  </bookViews>
  <sheets>
    <sheet name="COMEDOR" sheetId="2" r:id="rId1"/>
    <sheet name="DEBE" sheetId="11" r:id="rId2"/>
    <sheet name="HABER" sheetId="12" r:id="rId3"/>
    <sheet name="BALANCE" sheetId="13" r:id="rId4"/>
  </sheets>
  <definedNames>
    <definedName name="_xlnm._FilterDatabase" localSheetId="0" hidden="1">COMEDOR!$A$1:$Q$133</definedName>
    <definedName name="_xlnm._FilterDatabase" localSheetId="2" hidden="1">HABER!$A$4:$F$13</definedName>
    <definedName name="_xlnm.Print_Titles" localSheetId="1">DEBE!$1:$4</definedName>
    <definedName name="_xlnm.Print_Titles" localSheetId="2">HABER!$1:$4</definedName>
  </definedNames>
  <calcPr calcId="191029"/>
  <pivotCaches>
    <pivotCache cacheId="41" r:id="rId5"/>
    <pivotCache cacheId="49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0" i="13" l="1"/>
  <c r="D5" i="13"/>
  <c r="D4" i="13"/>
  <c r="D7" i="13" l="1"/>
  <c r="D12" i="13" s="1"/>
</calcChain>
</file>

<file path=xl/sharedStrings.xml><?xml version="1.0" encoding="utf-8"?>
<sst xmlns="http://schemas.openxmlformats.org/spreadsheetml/2006/main" count="1321" uniqueCount="66">
  <si>
    <t>NUMERO</t>
  </si>
  <si>
    <t>DATA</t>
  </si>
  <si>
    <t>CONCEPTO</t>
  </si>
  <si>
    <t>DEBE</t>
  </si>
  <si>
    <t>HABER</t>
  </si>
  <si>
    <t>I_G</t>
  </si>
  <si>
    <t>CODIGO_COMEDOR</t>
  </si>
  <si>
    <t>PERIODO</t>
  </si>
  <si>
    <t>LIBRE</t>
  </si>
  <si>
    <t>XUSTIFICA</t>
  </si>
  <si>
    <t>NOME</t>
  </si>
  <si>
    <t>EUROS</t>
  </si>
  <si>
    <t>DIA</t>
  </si>
  <si>
    <t>MES</t>
  </si>
  <si>
    <t>ANO</t>
  </si>
  <si>
    <t>CHEQUE</t>
  </si>
  <si>
    <t>IMPRIMIR</t>
  </si>
  <si>
    <t>SALDO ANTERIOR</t>
  </si>
  <si>
    <t>I</t>
  </si>
  <si>
    <t/>
  </si>
  <si>
    <t>Suma de DEBE</t>
  </si>
  <si>
    <t>Total general</t>
  </si>
  <si>
    <t>Suma de HABER</t>
  </si>
  <si>
    <t>BALANCE</t>
  </si>
  <si>
    <t>TOTAL</t>
  </si>
  <si>
    <t>RESULTADO</t>
  </si>
  <si>
    <t>(Varios elementos)</t>
  </si>
  <si>
    <t>XANCEDA</t>
  </si>
  <si>
    <t>G</t>
  </si>
  <si>
    <t>ALIMENTACION</t>
  </si>
  <si>
    <t>1º TRIMESTRE</t>
  </si>
  <si>
    <t>Total 1º TRIMESTRE</t>
  </si>
  <si>
    <t>Total ALIMENTACION</t>
  </si>
  <si>
    <t>FERNANDEZ RATON</t>
  </si>
  <si>
    <t>CHOUZAN</t>
  </si>
  <si>
    <t>PRODER</t>
  </si>
  <si>
    <t>LIMPEZA</t>
  </si>
  <si>
    <t>XINXAN</t>
  </si>
  <si>
    <t>MEILAN</t>
  </si>
  <si>
    <t>MARTINEZ COUTADO</t>
  </si>
  <si>
    <t>REPSOL BUTANO</t>
  </si>
  <si>
    <t>MANTEMENTO</t>
  </si>
  <si>
    <t>VAZQUEZ FORTES</t>
  </si>
  <si>
    <t>ANTELA</t>
  </si>
  <si>
    <t>DOSGAR</t>
  </si>
  <si>
    <t>NOVOA NEIRA</t>
  </si>
  <si>
    <t>LUCUS MARKET</t>
  </si>
  <si>
    <t>MI DETERGENTE</t>
  </si>
  <si>
    <t>PERLADA</t>
  </si>
  <si>
    <t>UTENSILIOS</t>
  </si>
  <si>
    <t>AS CUMBRES</t>
  </si>
  <si>
    <t>LORENA TABOADA</t>
  </si>
  <si>
    <t>DOCAMPO</t>
  </si>
  <si>
    <t>SARRIANOS</t>
  </si>
  <si>
    <t>Total 2025</t>
  </si>
  <si>
    <t>VIRULE</t>
  </si>
  <si>
    <t>SANCHEZ VADO</t>
  </si>
  <si>
    <t>SANTORINI</t>
  </si>
  <si>
    <t>Total LIMPEZA</t>
  </si>
  <si>
    <t>Total MANTEMENTO</t>
  </si>
  <si>
    <t>Total UTENSILIOS</t>
  </si>
  <si>
    <t>DISCIBRAN</t>
  </si>
  <si>
    <t>DEPARTAMENTO TERRITORIAL</t>
  </si>
  <si>
    <t>CONSELLERÍA</t>
  </si>
  <si>
    <t>Total CONSELLERÍA</t>
  </si>
  <si>
    <t>JAVIER AMARANTE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</si>
</sst>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;@"/>
    <numFmt numFmtId="165" formatCode="#,##0.00\ &quot;€&quot;"/>
  </numFmts>
  <fonts count="5" x14ac:knownFonts="1">
    <font>
      <sz val="11"/>
      <color theme="1"/>
      <name val="Calibri"/>
      <family val="2"/>
      <scheme val="minor"/>
    </font>
    <font>
      <sz val="11"/>
      <color indexed="8"/>
      <name val="Calibri"/>
    </font>
    <font>
      <sz val="10"/>
      <color indexed="8"/>
      <name val="Arial"/>
    </font>
    <font>
      <b/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22"/>
      </left>
      <right/>
      <top/>
      <bottom/>
      <diagonal/>
    </border>
  </borders>
  <cellStyleXfs count="2">
    <xf numFmtId="0" fontId="0" fillId="0" borderId="0"/>
    <xf numFmtId="0" fontId="2" fillId="0" borderId="0"/>
  </cellStyleXfs>
  <cellXfs count="36">
    <xf numFmtId="0" fontId="0" fillId="0" borderId="0" xfId="0"/>
    <xf numFmtId="0" fontId="1" fillId="2" borderId="1" xfId="1" applyFont="1" applyFill="1" applyBorder="1" applyAlignment="1">
      <alignment horizontal="center"/>
    </xf>
    <xf numFmtId="1" fontId="1" fillId="0" borderId="2" xfId="1" applyNumberFormat="1" applyFont="1" applyBorder="1" applyAlignment="1">
      <alignment horizontal="right" wrapText="1"/>
    </xf>
    <xf numFmtId="0" fontId="1" fillId="0" borderId="2" xfId="1" applyFont="1" applyBorder="1" applyAlignment="1">
      <alignment horizontal="left" wrapText="1"/>
    </xf>
    <xf numFmtId="0" fontId="2" fillId="0" borderId="0" xfId="1"/>
    <xf numFmtId="2" fontId="1" fillId="0" borderId="2" xfId="1" applyNumberFormat="1" applyFont="1" applyBorder="1" applyAlignment="1">
      <alignment horizontal="right" wrapText="1"/>
    </xf>
    <xf numFmtId="0" fontId="1" fillId="0" borderId="2" xfId="1" applyFont="1" applyBorder="1" applyAlignment="1">
      <alignment wrapText="1"/>
    </xf>
    <xf numFmtId="2" fontId="0" fillId="0" borderId="0" xfId="0" applyNumberFormat="1"/>
    <xf numFmtId="2" fontId="2" fillId="0" borderId="0" xfId="1" applyNumberFormat="1"/>
    <xf numFmtId="14" fontId="1" fillId="0" borderId="2" xfId="1" applyNumberFormat="1" applyFont="1" applyBorder="1" applyAlignment="1">
      <alignment horizontal="right" wrapText="1"/>
    </xf>
    <xf numFmtId="164" fontId="1" fillId="0" borderId="2" xfId="1" applyNumberFormat="1" applyFont="1" applyBorder="1" applyAlignment="1">
      <alignment horizontal="right" wrapText="1"/>
    </xf>
    <xf numFmtId="164" fontId="0" fillId="0" borderId="0" xfId="0" applyNumberFormat="1"/>
    <xf numFmtId="0" fontId="0" fillId="0" borderId="3" xfId="0" pivotButton="1" applyBorder="1"/>
    <xf numFmtId="0" fontId="0" fillId="0" borderId="3" xfId="0" applyBorder="1"/>
    <xf numFmtId="165" fontId="0" fillId="0" borderId="0" xfId="0" applyNumberFormat="1"/>
    <xf numFmtId="0" fontId="3" fillId="0" borderId="3" xfId="0" applyFont="1" applyBorder="1"/>
    <xf numFmtId="0" fontId="4" fillId="0" borderId="0" xfId="0" applyFont="1"/>
    <xf numFmtId="0" fontId="0" fillId="3" borderId="3" xfId="0" applyFill="1" applyBorder="1"/>
    <xf numFmtId="165" fontId="0" fillId="3" borderId="3" xfId="0" applyNumberFormat="1" applyFill="1" applyBorder="1"/>
    <xf numFmtId="0" fontId="0" fillId="4" borderId="3" xfId="0" applyFill="1" applyBorder="1"/>
    <xf numFmtId="165" fontId="0" fillId="4" borderId="3" xfId="0" applyNumberFormat="1" applyFill="1" applyBorder="1"/>
    <xf numFmtId="0" fontId="0" fillId="5" borderId="3" xfId="0" applyFill="1" applyBorder="1"/>
    <xf numFmtId="165" fontId="0" fillId="5" borderId="3" xfId="0" applyNumberFormat="1" applyFill="1" applyBorder="1"/>
    <xf numFmtId="0" fontId="0" fillId="6" borderId="3" xfId="0" applyFill="1" applyBorder="1"/>
    <xf numFmtId="165" fontId="0" fillId="6" borderId="3" xfId="0" applyNumberFormat="1" applyFill="1" applyBorder="1"/>
    <xf numFmtId="165" fontId="0" fillId="7" borderId="3" xfId="0" applyNumberFormat="1" applyFill="1" applyBorder="1"/>
    <xf numFmtId="0" fontId="0" fillId="7" borderId="3" xfId="0" applyFill="1" applyBorder="1" applyAlignment="1">
      <alignment horizontal="right"/>
    </xf>
    <xf numFmtId="1" fontId="1" fillId="0" borderId="4" xfId="1" applyNumberFormat="1" applyFont="1" applyFill="1" applyBorder="1" applyAlignment="1">
      <alignment horizontal="right" wrapText="1"/>
    </xf>
    <xf numFmtId="0" fontId="1" fillId="0" borderId="4" xfId="1" applyFont="1" applyFill="1" applyBorder="1" applyAlignment="1">
      <alignment horizontal="left" wrapText="1"/>
    </xf>
    <xf numFmtId="2" fontId="1" fillId="0" borderId="4" xfId="1" applyNumberFormat="1" applyFont="1" applyFill="1" applyBorder="1" applyAlignment="1">
      <alignment horizontal="right" wrapText="1"/>
    </xf>
    <xf numFmtId="0" fontId="1" fillId="0" borderId="4" xfId="1" applyFont="1" applyFill="1" applyBorder="1" applyAlignment="1">
      <alignment wrapText="1"/>
    </xf>
    <xf numFmtId="0" fontId="0" fillId="0" borderId="3" xfId="0" applyNumberFormat="1" applyBorder="1"/>
    <xf numFmtId="14" fontId="0" fillId="0" borderId="0" xfId="0" applyNumberFormat="1"/>
    <xf numFmtId="2" fontId="1" fillId="0" borderId="5" xfId="1" applyNumberFormat="1" applyFont="1" applyFill="1" applyBorder="1" applyAlignment="1">
      <alignment horizontal="right" wrapText="1"/>
    </xf>
    <xf numFmtId="14" fontId="0" fillId="0" borderId="3" xfId="0" applyNumberFormat="1" applyBorder="1"/>
    <xf numFmtId="14" fontId="1" fillId="0" borderId="2" xfId="1" applyNumberFormat="1" applyFont="1" applyBorder="1" applyAlignment="1">
      <alignment wrapText="1"/>
    </xf>
  </cellXfs>
  <cellStyles count="2">
    <cellStyle name="Normal" xfId="0" builtinId="0"/>
    <cellStyle name="Normal_COMEDOR" xfId="1" xr:uid="{00000000-0005-0000-0000-000001000000}"/>
  </cellStyles>
  <dxfs count="82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9C0006"/>
      </font>
    </dxf>
    <dxf>
      <font>
        <color rgb="FF9C0006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107950</xdr:colOff>
      <xdr:row>0</xdr:row>
      <xdr:rowOff>133350</xdr:rowOff>
    </xdr:from>
    <xdr:to>
      <xdr:col>1</xdr:col>
      <xdr:colOff>375285</xdr:colOff>
      <xdr:row>0</xdr:row>
      <xdr:rowOff>957580</xdr:rowOff>
    </xdr:to>
    <xdr:pic>
      <xdr:nvPicPr>
        <xdr:cNvPr id="2" name="Imagen 1" descr="C:\Users\Raquel\AppData\Local\Microsoft\Windows\INetCache\Content.Word\membrete_2022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133350"/>
          <a:ext cx="1835785" cy="82423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120650</xdr:colOff>
      <xdr:row>0</xdr:row>
      <xdr:rowOff>120650</xdr:rowOff>
    </xdr:from>
    <xdr:to>
      <xdr:col>1</xdr:col>
      <xdr:colOff>387985</xdr:colOff>
      <xdr:row>0</xdr:row>
      <xdr:rowOff>939800</xdr:rowOff>
    </xdr:to>
    <xdr:pic>
      <xdr:nvPicPr>
        <xdr:cNvPr id="2" name="Imagen 1" descr="C:\Users\Raquel\AppData\Local\Microsoft\Windows\INetCache\Content.Word\membrete_2022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120650"/>
          <a:ext cx="1835785" cy="8191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158750</xdr:colOff>
      <xdr:row>0</xdr:row>
      <xdr:rowOff>184150</xdr:rowOff>
    </xdr:from>
    <xdr:to>
      <xdr:col>2</xdr:col>
      <xdr:colOff>19685</xdr:colOff>
      <xdr:row>0</xdr:row>
      <xdr:rowOff>1008380</xdr:rowOff>
    </xdr:to>
    <xdr:pic>
      <xdr:nvPicPr>
        <xdr:cNvPr id="2" name="Imagen 1" descr="C:\Users\Raquel\AppData\Local\Microsoft\Windows\INetCache\Content.Word\membrete_2022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50" y="184150"/>
          <a:ext cx="1835785" cy="82423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12700</xdr:colOff>
      <xdr:row>1</xdr:row>
      <xdr:rowOff>95250</xdr:rowOff>
    </xdr:from>
    <xdr:to>
      <xdr:col>5</xdr:col>
      <xdr:colOff>381000</xdr:colOff>
      <xdr:row>1</xdr:row>
      <xdr:rowOff>638528</xdr:rowOff>
    </xdr:to>
    <xdr:pic>
      <xdr:nvPicPr>
        <xdr:cNvPr id="3" name="Imagen 2" descr="&lt;strong&gt;balanza&lt;/strong&gt;, inclinado, foto derecha, antecedentes, equilibrar, escala de ...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13200" y="1270000"/>
          <a:ext cx="977900" cy="543278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101.527711111114" createdVersion="8" refreshedVersion="7" minRefreshableVersion="3" recordCount="225" xr:uid="{00000000-000A-0000-FFFF-FFFF11000000}">
  <cacheSource type="worksheet">
    <worksheetSource ref="A1:K1000" sheet="COMEDOR"/>
  </cacheSource>
  <cacheFields count="11">
    <cacheField name="NUMERO" numFmtId="0">
      <sharedItems containsString="0" containsBlank="1" containsNumber="1" containsInteger="1" minValue="0" maxValue="223" count="225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m/>
      </sharedItems>
    </cacheField>
    <cacheField name="DATA" numFmtId="0">
      <sharedItems containsNonDate="0" containsDate="1" containsString="0" containsBlank="1" minDate="2025-03-06T00:00:00" maxDate="2026-09-10T00:00:00" count="41">
        <d v="2026-01-01T00:00:00"/>
        <d v="2026-01-15T00:00:00"/>
        <d v="2026-01-29T00:00:00"/>
        <d v="2026-02-02T00:00:00"/>
        <d v="2026-02-09T00:00:00"/>
        <d v="2026-02-10T00:00:00"/>
        <d v="2026-02-13T00:00:00"/>
        <d v="2026-02-19T00:00:00"/>
        <d v="2026-02-27T00:00:00"/>
        <d v="2026-03-03T00:00:00"/>
        <d v="2026-03-09T00:00:00"/>
        <d v="2026-09-09T00:00:00"/>
        <d v="2026-03-10T00:00:00"/>
        <d v="2026-03-20T00:00:00"/>
        <m/>
        <d v="2025-11-25T00:00:00" u="1"/>
        <d v="2025-09-08T00:00:00" u="1"/>
        <d v="2025-12-30T00:00:00" u="1"/>
        <d v="2025-10-13T00:00:00" u="1"/>
        <d v="2025-12-04T00:00:00" u="1"/>
        <d v="2025-11-18T00:00:00" u="1"/>
        <d v="2025-10-06T00:00:00" u="1"/>
        <d v="2025-12-16T00:00:00" u="1"/>
        <d v="2025-11-04T00:00:00" u="1"/>
        <d v="2025-06-03T00:00:00" u="1"/>
        <d v="2025-10-04T00:00:00" u="1"/>
        <d v="2025-11-28T00:00:00" u="1"/>
        <d v="2025-11-21T00:00:00" u="1"/>
        <d v="2025-11-14T00:00:00" u="1"/>
        <d v="2025-10-28T00:00:00" u="1"/>
        <d v="2025-12-19T00:00:00" u="1"/>
        <d v="2025-11-07T00:00:00" u="1"/>
        <d v="2025-10-21T00:00:00" u="1"/>
        <d v="2025-12-12T00:00:00" u="1"/>
        <d v="2025-10-14T00:00:00" u="1"/>
        <d v="2025-10-07T00:00:00" u="1"/>
        <d v="2025-12-17T00:00:00" u="1"/>
        <d v="2025-11-05T00:00:00" u="1"/>
        <d v="2025-08-28T00:00:00" u="1"/>
        <d v="2025-03-06T00:00:00" u="1"/>
        <d v="2025-12-11T00:00:00" u="1"/>
      </sharedItems>
    </cacheField>
    <cacheField name="CONCEPTO" numFmtId="0">
      <sharedItems containsBlank="1" count="60">
        <s v="SALDO ANTERIOR"/>
        <s v="XANCEDA"/>
        <s v="FERNANDEZ RATON"/>
        <s v="CHOUZAN"/>
        <s v="PRODER"/>
        <s v="XINXAN"/>
        <s v="MEILAN"/>
        <s v="MARTINEZ COUTADO"/>
        <s v="REPSOL BUTANO"/>
        <s v="VAZQUEZ FORTES"/>
        <s v="ANTELA"/>
        <s v="DOSGAR"/>
        <s v="NOVOA NEIRA"/>
        <s v="LUCUS MARKET"/>
        <s v="MI DETERGENTE"/>
        <s v="PERLADA"/>
        <s v="AS CUMBRES"/>
        <s v="LORENA TABOADA"/>
        <s v="DOCAMPO"/>
        <s v="SARRIANOS"/>
        <s v="VIRULE"/>
        <s v="SANCHEZ VADO"/>
        <s v="SANTORINI"/>
        <s v="DISCIBRAN"/>
        <s v="DEPARTAMENTO TERRITORIAL"/>
        <s v="JAVIER AMARANTE"/>
        <m/>
        <s v="F. AS CUMBRES" u="1"/>
        <s v="P. NOVOA NEIRA" u="1"/>
        <s v="FOCAVI" u="1"/>
        <s v="MAXLIMPIO" u="1"/>
        <s v="CARNICERIA AMARANTE" u="1"/>
        <s v="DESPRAZAMENTOS AO CENTRO POR OBRAS DIRECTOR" u="1"/>
        <s v="OBRAS TECNICAS E CAUSAS SOBREVIDAS COMEDOR" u="1"/>
        <s v="C. AMARANTE" u="1"/>
        <s v="PAGO INCORRECTO NA CONTA COMEDOR MES DE AGOSTO" u="1"/>
        <s v="PELÉ OBRAS Y SERVICIOS" u="1"/>
        <s v="ANTELA FISH" u="1"/>
        <s v="S. DOCAMPO" u="1"/>
        <s v="PERLAMAR" u="1"/>
        <s v="C. MEILAN" u="1"/>
        <s v="C. SARRIANOS" u="1"/>
        <s v="CASA DA FONTE" u="1"/>
        <s v="VESPRO" u="1"/>
        <s v="DEPARTAMENTO TERRITORIAL " u="1"/>
        <s v="PESCADERIA LORENA TABOADA" u="1"/>
        <s v="REPSOL BUTANO, S.A.                                  " u="1"/>
        <s v="PERLADA S.L." u="1"/>
        <s v="NAICIÑA" u="1"/>
        <s v="LIDL" u="1"/>
        <s v="DAVEIGA" u="1"/>
        <s v="FDEZ. RATON" u="1"/>
        <s v="D. SANTORINI" u="1"/>
        <s v="M. COUTADO" u="1"/>
        <s v="MIDETERGENTE" u="1"/>
        <s v="F. XINXAN" u="1"/>
        <s v="LINA E NEIRA" u="1"/>
        <s v="LUKUS MARKET" u="1"/>
        <s v="FDEZ RATON" u="1"/>
        <s v="C. SANCHEZ VADO" u="1"/>
      </sharedItems>
    </cacheField>
    <cacheField name="DEBE" numFmtId="0">
      <sharedItems containsString="0" containsBlank="1" containsNumber="1" minValue="17.600000000000001" maxValue="780.07"/>
    </cacheField>
    <cacheField name="HABER" numFmtId="0">
      <sharedItems containsString="0" containsBlank="1" containsNumber="1" minValue="17510.189999999999" maxValue="50608.14"/>
    </cacheField>
    <cacheField name="I_G" numFmtId="0">
      <sharedItems containsBlank="1" count="3">
        <s v="I"/>
        <s v="G"/>
        <m/>
      </sharedItems>
    </cacheField>
    <cacheField name="CODIGO_COMEDOR" numFmtId="0">
      <sharedItems containsBlank="1" containsMixedTypes="1" containsNumber="1" minValue="65478.859999999993" maxValue="65478.859999999993" count="8">
        <s v=""/>
        <s v="ALIMENTACION"/>
        <s v="LIMPEZA"/>
        <s v="MANTEMENTO"/>
        <s v="UTENSILIOS"/>
        <s v="CONSELLERÍA"/>
        <m/>
        <n v="65478.859999999993" u="1"/>
      </sharedItems>
    </cacheField>
    <cacheField name="PERIODO" numFmtId="0">
      <sharedItems containsBlank="1" containsMixedTypes="1" containsNumber="1" containsInteger="1" minValue="2025" maxValue="2025" count="4">
        <s v=""/>
        <n v="2025"/>
        <s v="1º TRIMESTRE"/>
        <m/>
      </sharedItems>
    </cacheField>
    <cacheField name="LIBRE" numFmtId="0">
      <sharedItems containsNonDate="0" containsString="0" containsBlank="1"/>
    </cacheField>
    <cacheField name="XUSTIFICA" numFmtId="0">
      <sharedItems containsBlank="1"/>
    </cacheField>
    <cacheField name="NOM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101.527711226852" createdVersion="8" refreshedVersion="7" minRefreshableVersion="3" recordCount="225" xr:uid="{00000000-000A-0000-FFFF-FFFF09000000}">
  <cacheSource type="worksheet">
    <worksheetSource ref="A1:H1000" sheet="COMEDOR"/>
  </cacheSource>
  <cacheFields count="8">
    <cacheField name="NUMERO" numFmtId="0">
      <sharedItems containsString="0" containsBlank="1" containsNumber="1" containsInteger="1" minValue="0" maxValue="223" count="225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m/>
      </sharedItems>
    </cacheField>
    <cacheField name="DATA" numFmtId="0">
      <sharedItems containsNonDate="0" containsDate="1" containsString="0" containsBlank="1" minDate="2025-03-06T00:00:00" maxDate="2026-09-10T00:00:00" count="41">
        <d v="2026-01-01T00:00:00"/>
        <d v="2026-01-15T00:00:00"/>
        <d v="2026-01-29T00:00:00"/>
        <d v="2026-02-02T00:00:00"/>
        <d v="2026-02-09T00:00:00"/>
        <d v="2026-02-10T00:00:00"/>
        <d v="2026-02-13T00:00:00"/>
        <d v="2026-02-19T00:00:00"/>
        <d v="2026-02-27T00:00:00"/>
        <d v="2026-03-03T00:00:00"/>
        <d v="2026-03-09T00:00:00"/>
        <d v="2026-09-09T00:00:00"/>
        <d v="2026-03-10T00:00:00"/>
        <d v="2026-03-20T00:00:00"/>
        <m/>
        <d v="2025-11-25T00:00:00" u="1"/>
        <d v="2025-09-08T00:00:00" u="1"/>
        <d v="2025-12-30T00:00:00" u="1"/>
        <d v="2025-10-13T00:00:00" u="1"/>
        <d v="2025-12-04T00:00:00" u="1"/>
        <d v="2025-11-18T00:00:00" u="1"/>
        <d v="2025-10-06T00:00:00" u="1"/>
        <d v="2025-12-16T00:00:00" u="1"/>
        <d v="2025-11-04T00:00:00" u="1"/>
        <d v="2025-06-03T00:00:00" u="1"/>
        <d v="2025-10-04T00:00:00" u="1"/>
        <d v="2025-11-28T00:00:00" u="1"/>
        <d v="2025-11-21T00:00:00" u="1"/>
        <d v="2025-11-14T00:00:00" u="1"/>
        <d v="2025-10-28T00:00:00" u="1"/>
        <d v="2025-12-19T00:00:00" u="1"/>
        <d v="2025-11-07T00:00:00" u="1"/>
        <d v="2025-10-21T00:00:00" u="1"/>
        <d v="2025-12-12T00:00:00" u="1"/>
        <d v="2025-10-14T00:00:00" u="1"/>
        <d v="2025-10-07T00:00:00" u="1"/>
        <d v="2025-12-17T00:00:00" u="1"/>
        <d v="2025-11-05T00:00:00" u="1"/>
        <d v="2025-08-28T00:00:00" u="1"/>
        <d v="2025-03-06T00:00:00" u="1"/>
        <d v="2025-12-11T00:00:00" u="1"/>
      </sharedItems>
    </cacheField>
    <cacheField name="CONCEPTO" numFmtId="0">
      <sharedItems containsBlank="1" count="60">
        <s v="SALDO ANTERIOR"/>
        <s v="XANCEDA"/>
        <s v="FERNANDEZ RATON"/>
        <s v="CHOUZAN"/>
        <s v="PRODER"/>
        <s v="XINXAN"/>
        <s v="MEILAN"/>
        <s v="MARTINEZ COUTADO"/>
        <s v="REPSOL BUTANO"/>
        <s v="VAZQUEZ FORTES"/>
        <s v="ANTELA"/>
        <s v="DOSGAR"/>
        <s v="NOVOA NEIRA"/>
        <s v="LUCUS MARKET"/>
        <s v="MI DETERGENTE"/>
        <s v="PERLADA"/>
        <s v="AS CUMBRES"/>
        <s v="LORENA TABOADA"/>
        <s v="DOCAMPO"/>
        <s v="SARRIANOS"/>
        <s v="VIRULE"/>
        <s v="SANCHEZ VADO"/>
        <s v="SANTORINI"/>
        <s v="DISCIBRAN"/>
        <s v="DEPARTAMENTO TERRITORIAL"/>
        <s v="JAVIER AMARANTE"/>
        <m/>
        <s v="F. AS CUMBRES" u="1"/>
        <s v="P. NOVOA NEIRA" u="1"/>
        <s v="FOCAVI" u="1"/>
        <s v="MAXLIMPIO" u="1"/>
        <s v="CARNICERIA AMARANTE" u="1"/>
        <s v="DESPRAZAMENTOS AO CENTRO POR OBRAS DIRECTOR" u="1"/>
        <s v="OBRAS TECNICAS E CAUSAS SOBREVIDAS COMEDOR" u="1"/>
        <s v="C. AMARANTE" u="1"/>
        <s v="PAGO INCORRECTO NA CONTA COMEDOR MES DE AGOSTO" u="1"/>
        <s v="PELÉ OBRAS Y SERVICIOS" u="1"/>
        <s v="ANTELA FISH" u="1"/>
        <s v="S. DOCAMPO" u="1"/>
        <s v="PERLAMAR" u="1"/>
        <s v="C. MEILAN" u="1"/>
        <s v="C. SARRIANOS" u="1"/>
        <s v="CASA DA FONTE" u="1"/>
        <s v="VESPRO" u="1"/>
        <s v="DEPARTAMENTO TERRITORIAL " u="1"/>
        <s v="PESCADERIA LORENA TABOADA" u="1"/>
        <s v="REPSOL BUTANO, S.A.                                  " u="1"/>
        <s v="PERLADA S.L." u="1"/>
        <s v="NAICIÑA" u="1"/>
        <s v="LIDL" u="1"/>
        <s v="DAVEIGA" u="1"/>
        <s v="FDEZ. RATON" u="1"/>
        <s v="D. SANTORINI" u="1"/>
        <s v="M. COUTADO" u="1"/>
        <s v="MIDETERGENTE" u="1"/>
        <s v="F. XINXAN" u="1"/>
        <s v="LINA E NEIRA" u="1"/>
        <s v="LUKUS MARKET" u="1"/>
        <s v="FDEZ RATON" u="1"/>
        <s v="C. SANCHEZ VADO" u="1"/>
      </sharedItems>
    </cacheField>
    <cacheField name="DEBE" numFmtId="0">
      <sharedItems containsString="0" containsBlank="1" containsNumber="1" minValue="17.600000000000001" maxValue="780.07"/>
    </cacheField>
    <cacheField name="HABER" numFmtId="0">
      <sharedItems containsString="0" containsBlank="1" containsNumber="1" minValue="17510.189999999999" maxValue="50608.14"/>
    </cacheField>
    <cacheField name="I_G" numFmtId="0">
      <sharedItems containsBlank="1" count="3">
        <s v="I"/>
        <s v="G"/>
        <m/>
      </sharedItems>
    </cacheField>
    <cacheField name="CODIGO_COMEDOR" numFmtId="0">
      <sharedItems containsBlank="1" containsMixedTypes="1" containsNumber="1" minValue="65478.859999999993" maxValue="65478.859999999993" count="8">
        <s v=""/>
        <s v="ALIMENTACION"/>
        <s v="LIMPEZA"/>
        <s v="MANTEMENTO"/>
        <s v="UTENSILIOS"/>
        <s v="CONSELLERÍA"/>
        <m/>
        <n v="65478.859999999993" u="1"/>
      </sharedItems>
    </cacheField>
    <cacheField name="PERIODO" numFmtId="0">
      <sharedItems containsBlank="1" containsMixedTypes="1" containsNumber="1" containsInteger="1" minValue="2025" maxValue="2025" count="4">
        <s v=""/>
        <n v="2025"/>
        <s v="1º TRIMESTRE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5">
  <r>
    <x v="0"/>
    <x v="0"/>
    <x v="0"/>
    <m/>
    <n v="50608.14"/>
    <x v="0"/>
    <x v="0"/>
    <x v="0"/>
    <m/>
    <s v=""/>
    <s v=""/>
  </r>
  <r>
    <x v="1"/>
    <x v="1"/>
    <x v="1"/>
    <n v="17.600000000000001"/>
    <m/>
    <x v="1"/>
    <x v="1"/>
    <x v="1"/>
    <m/>
    <s v=""/>
    <s v=""/>
  </r>
  <r>
    <x v="2"/>
    <x v="2"/>
    <x v="2"/>
    <n v="194.04"/>
    <m/>
    <x v="1"/>
    <x v="1"/>
    <x v="2"/>
    <m/>
    <m/>
    <s v=""/>
  </r>
  <r>
    <x v="3"/>
    <x v="2"/>
    <x v="3"/>
    <n v="342.83"/>
    <m/>
    <x v="1"/>
    <x v="1"/>
    <x v="2"/>
    <m/>
    <s v=""/>
    <s v=""/>
  </r>
  <r>
    <x v="4"/>
    <x v="2"/>
    <x v="4"/>
    <n v="211.42"/>
    <m/>
    <x v="1"/>
    <x v="2"/>
    <x v="2"/>
    <m/>
    <s v=""/>
    <s v=""/>
  </r>
  <r>
    <x v="5"/>
    <x v="3"/>
    <x v="1"/>
    <n v="64.77"/>
    <m/>
    <x v="1"/>
    <x v="1"/>
    <x v="2"/>
    <m/>
    <s v=""/>
    <s v=""/>
  </r>
  <r>
    <x v="6"/>
    <x v="3"/>
    <x v="5"/>
    <n v="780.07"/>
    <m/>
    <x v="1"/>
    <x v="1"/>
    <x v="2"/>
    <m/>
    <s v=""/>
    <s v=""/>
  </r>
  <r>
    <x v="7"/>
    <x v="3"/>
    <x v="6"/>
    <n v="191.24"/>
    <m/>
    <x v="1"/>
    <x v="1"/>
    <x v="2"/>
    <m/>
    <s v=""/>
    <s v=""/>
  </r>
  <r>
    <x v="8"/>
    <x v="4"/>
    <x v="7"/>
    <n v="197.74"/>
    <m/>
    <x v="1"/>
    <x v="1"/>
    <x v="2"/>
    <m/>
    <s v=""/>
    <s v=""/>
  </r>
  <r>
    <x v="9"/>
    <x v="4"/>
    <x v="8"/>
    <n v="383"/>
    <m/>
    <x v="1"/>
    <x v="3"/>
    <x v="2"/>
    <m/>
    <s v=""/>
    <s v=""/>
  </r>
  <r>
    <x v="10"/>
    <x v="4"/>
    <x v="9"/>
    <n v="229.73"/>
    <m/>
    <x v="1"/>
    <x v="1"/>
    <x v="2"/>
    <m/>
    <s v=""/>
    <s v=""/>
  </r>
  <r>
    <x v="11"/>
    <x v="4"/>
    <x v="10"/>
    <n v="462.59"/>
    <m/>
    <x v="1"/>
    <x v="1"/>
    <x v="2"/>
    <m/>
    <s v=""/>
    <s v=""/>
  </r>
  <r>
    <x v="12"/>
    <x v="4"/>
    <x v="1"/>
    <n v="35.19"/>
    <m/>
    <x v="1"/>
    <x v="1"/>
    <x v="2"/>
    <m/>
    <s v=""/>
    <s v=""/>
  </r>
  <r>
    <x v="13"/>
    <x v="4"/>
    <x v="1"/>
    <n v="52.79"/>
    <m/>
    <x v="1"/>
    <x v="1"/>
    <x v="2"/>
    <m/>
    <s v=""/>
    <s v=""/>
  </r>
  <r>
    <x v="14"/>
    <x v="4"/>
    <x v="11"/>
    <n v="113.27"/>
    <m/>
    <x v="1"/>
    <x v="1"/>
    <x v="2"/>
    <m/>
    <s v=""/>
    <s v=""/>
  </r>
  <r>
    <x v="15"/>
    <x v="4"/>
    <x v="12"/>
    <n v="106.6"/>
    <m/>
    <x v="1"/>
    <x v="1"/>
    <x v="2"/>
    <m/>
    <s v=""/>
    <s v=""/>
  </r>
  <r>
    <x v="16"/>
    <x v="4"/>
    <x v="13"/>
    <n v="300.77"/>
    <m/>
    <x v="1"/>
    <x v="1"/>
    <x v="2"/>
    <m/>
    <s v=""/>
    <s v=""/>
  </r>
  <r>
    <x v="17"/>
    <x v="4"/>
    <x v="14"/>
    <n v="253.41"/>
    <m/>
    <x v="1"/>
    <x v="2"/>
    <x v="2"/>
    <m/>
    <s v=""/>
    <s v=""/>
  </r>
  <r>
    <x v="18"/>
    <x v="5"/>
    <x v="15"/>
    <n v="75"/>
    <m/>
    <x v="1"/>
    <x v="4"/>
    <x v="2"/>
    <m/>
    <s v=""/>
    <s v=""/>
  </r>
  <r>
    <x v="19"/>
    <x v="6"/>
    <x v="16"/>
    <n v="87.9"/>
    <m/>
    <x v="1"/>
    <x v="1"/>
    <x v="2"/>
    <m/>
    <s v=""/>
    <s v=""/>
  </r>
  <r>
    <x v="20"/>
    <x v="6"/>
    <x v="17"/>
    <n v="324.02999999999997"/>
    <m/>
    <x v="1"/>
    <x v="1"/>
    <x v="2"/>
    <m/>
    <s v=""/>
    <s v=""/>
  </r>
  <r>
    <x v="21"/>
    <x v="6"/>
    <x v="17"/>
    <n v="223.3"/>
    <m/>
    <x v="1"/>
    <x v="1"/>
    <x v="2"/>
    <m/>
    <s v=""/>
    <s v=""/>
  </r>
  <r>
    <x v="22"/>
    <x v="7"/>
    <x v="18"/>
    <n v="242.49"/>
    <m/>
    <x v="1"/>
    <x v="1"/>
    <x v="2"/>
    <m/>
    <s v=""/>
    <s v=""/>
  </r>
  <r>
    <x v="23"/>
    <x v="7"/>
    <x v="19"/>
    <n v="221.97"/>
    <m/>
    <x v="1"/>
    <x v="1"/>
    <x v="2"/>
    <m/>
    <s v=""/>
    <s v=""/>
  </r>
  <r>
    <x v="24"/>
    <x v="7"/>
    <x v="1"/>
    <n v="116.19"/>
    <m/>
    <x v="1"/>
    <x v="1"/>
    <x v="2"/>
    <m/>
    <s v=""/>
    <s v=""/>
  </r>
  <r>
    <x v="25"/>
    <x v="8"/>
    <x v="20"/>
    <n v="227.21"/>
    <m/>
    <x v="1"/>
    <x v="1"/>
    <x v="2"/>
    <m/>
    <s v=""/>
    <s v=""/>
  </r>
  <r>
    <x v="26"/>
    <x v="8"/>
    <x v="21"/>
    <n v="234.32"/>
    <m/>
    <x v="1"/>
    <x v="1"/>
    <x v="2"/>
    <m/>
    <s v=""/>
    <s v=""/>
  </r>
  <r>
    <x v="27"/>
    <x v="8"/>
    <x v="22"/>
    <n v="106.7"/>
    <m/>
    <x v="1"/>
    <x v="1"/>
    <x v="2"/>
    <m/>
    <s v=""/>
    <s v=""/>
  </r>
  <r>
    <x v="28"/>
    <x v="9"/>
    <x v="1"/>
    <n v="47.67"/>
    <m/>
    <x v="1"/>
    <x v="1"/>
    <x v="2"/>
    <m/>
    <s v=""/>
    <s v=""/>
  </r>
  <r>
    <x v="29"/>
    <x v="10"/>
    <x v="19"/>
    <n v="45.72"/>
    <m/>
    <x v="1"/>
    <x v="1"/>
    <x v="2"/>
    <m/>
    <s v=""/>
    <s v=""/>
  </r>
  <r>
    <x v="30"/>
    <x v="10"/>
    <x v="23"/>
    <n v="163.33000000000001"/>
    <m/>
    <x v="1"/>
    <x v="1"/>
    <x v="2"/>
    <m/>
    <s v=""/>
    <s v=""/>
  </r>
  <r>
    <x v="31"/>
    <x v="10"/>
    <x v="13"/>
    <n v="623.91999999999996"/>
    <m/>
    <x v="1"/>
    <x v="1"/>
    <x v="2"/>
    <m/>
    <s v=""/>
    <s v=""/>
  </r>
  <r>
    <x v="32"/>
    <x v="10"/>
    <x v="7"/>
    <n v="221.67"/>
    <m/>
    <x v="1"/>
    <x v="1"/>
    <x v="2"/>
    <m/>
    <s v=""/>
    <s v=""/>
  </r>
  <r>
    <x v="33"/>
    <x v="10"/>
    <x v="18"/>
    <n v="133.85"/>
    <m/>
    <x v="1"/>
    <x v="1"/>
    <x v="2"/>
    <m/>
    <s v=""/>
    <s v=""/>
  </r>
  <r>
    <x v="34"/>
    <x v="10"/>
    <x v="10"/>
    <n v="424.49"/>
    <m/>
    <x v="1"/>
    <x v="1"/>
    <x v="2"/>
    <m/>
    <s v=""/>
    <s v=""/>
  </r>
  <r>
    <x v="35"/>
    <x v="10"/>
    <x v="17"/>
    <n v="223.3"/>
    <m/>
    <x v="1"/>
    <x v="1"/>
    <x v="2"/>
    <m/>
    <s v=""/>
    <s v=""/>
  </r>
  <r>
    <x v="36"/>
    <x v="10"/>
    <x v="17"/>
    <n v="269.27999999999997"/>
    <m/>
    <x v="1"/>
    <x v="1"/>
    <x v="2"/>
    <m/>
    <s v=""/>
    <s v=""/>
  </r>
  <r>
    <x v="37"/>
    <x v="10"/>
    <x v="12"/>
    <n v="303.39999999999998"/>
    <m/>
    <x v="1"/>
    <x v="1"/>
    <x v="2"/>
    <m/>
    <s v=""/>
    <s v=""/>
  </r>
  <r>
    <x v="38"/>
    <x v="10"/>
    <x v="6"/>
    <n v="190.04"/>
    <m/>
    <x v="1"/>
    <x v="1"/>
    <x v="2"/>
    <m/>
    <s v=""/>
    <s v=""/>
  </r>
  <r>
    <x v="39"/>
    <x v="10"/>
    <x v="6"/>
    <n v="326.37"/>
    <m/>
    <x v="1"/>
    <x v="1"/>
    <x v="2"/>
    <m/>
    <s v=""/>
    <s v=""/>
  </r>
  <r>
    <x v="40"/>
    <x v="10"/>
    <x v="5"/>
    <n v="320.74"/>
    <m/>
    <x v="1"/>
    <x v="1"/>
    <x v="2"/>
    <m/>
    <s v=""/>
    <s v=""/>
  </r>
  <r>
    <x v="41"/>
    <x v="11"/>
    <x v="24"/>
    <m/>
    <n v="17510.189999999999"/>
    <x v="0"/>
    <x v="5"/>
    <x v="2"/>
    <m/>
    <s v=""/>
    <s v=""/>
  </r>
  <r>
    <x v="42"/>
    <x v="12"/>
    <x v="1"/>
    <n v="35.19"/>
    <m/>
    <x v="1"/>
    <x v="1"/>
    <x v="2"/>
    <m/>
    <s v=""/>
    <s v=""/>
  </r>
  <r>
    <x v="43"/>
    <x v="12"/>
    <x v="3"/>
    <n v="353.3"/>
    <m/>
    <x v="1"/>
    <x v="1"/>
    <x v="2"/>
    <m/>
    <s v=""/>
    <s v=""/>
  </r>
  <r>
    <x v="44"/>
    <x v="13"/>
    <x v="1"/>
    <n v="118.06"/>
    <m/>
    <x v="1"/>
    <x v="1"/>
    <x v="2"/>
    <m/>
    <s v=""/>
    <s v=""/>
  </r>
  <r>
    <x v="45"/>
    <x v="13"/>
    <x v="9"/>
    <n v="327.85"/>
    <m/>
    <x v="1"/>
    <x v="1"/>
    <x v="2"/>
    <m/>
    <s v=""/>
    <s v=""/>
  </r>
  <r>
    <x v="46"/>
    <x v="13"/>
    <x v="20"/>
    <n v="160.32"/>
    <m/>
    <x v="1"/>
    <x v="1"/>
    <x v="2"/>
    <m/>
    <s v=""/>
    <s v=""/>
  </r>
  <r>
    <x v="47"/>
    <x v="13"/>
    <x v="25"/>
    <n v="112.5"/>
    <m/>
    <x v="1"/>
    <x v="1"/>
    <x v="2"/>
    <m/>
    <s v=""/>
    <s v=""/>
  </r>
  <r>
    <x v="48"/>
    <x v="13"/>
    <x v="25"/>
    <n v="284.10000000000002"/>
    <m/>
    <x v="1"/>
    <x v="1"/>
    <x v="2"/>
    <m/>
    <s v=""/>
    <s v=""/>
  </r>
  <r>
    <x v="49"/>
    <x v="14"/>
    <x v="26"/>
    <m/>
    <m/>
    <x v="2"/>
    <x v="6"/>
    <x v="3"/>
    <m/>
    <s v=""/>
    <s v=""/>
  </r>
  <r>
    <x v="50"/>
    <x v="14"/>
    <x v="26"/>
    <m/>
    <m/>
    <x v="2"/>
    <x v="6"/>
    <x v="3"/>
    <m/>
    <s v=""/>
    <s v=""/>
  </r>
  <r>
    <x v="51"/>
    <x v="14"/>
    <x v="26"/>
    <m/>
    <m/>
    <x v="2"/>
    <x v="6"/>
    <x v="3"/>
    <m/>
    <s v=""/>
    <s v=""/>
  </r>
  <r>
    <x v="52"/>
    <x v="14"/>
    <x v="26"/>
    <m/>
    <m/>
    <x v="2"/>
    <x v="6"/>
    <x v="3"/>
    <m/>
    <s v=""/>
    <s v=""/>
  </r>
  <r>
    <x v="53"/>
    <x v="14"/>
    <x v="26"/>
    <m/>
    <m/>
    <x v="2"/>
    <x v="6"/>
    <x v="3"/>
    <m/>
    <s v=""/>
    <s v=""/>
  </r>
  <r>
    <x v="54"/>
    <x v="14"/>
    <x v="26"/>
    <m/>
    <m/>
    <x v="2"/>
    <x v="6"/>
    <x v="3"/>
    <m/>
    <s v=""/>
    <s v=""/>
  </r>
  <r>
    <x v="55"/>
    <x v="14"/>
    <x v="26"/>
    <m/>
    <m/>
    <x v="2"/>
    <x v="6"/>
    <x v="3"/>
    <m/>
    <s v=""/>
    <s v=""/>
  </r>
  <r>
    <x v="56"/>
    <x v="14"/>
    <x v="26"/>
    <m/>
    <m/>
    <x v="2"/>
    <x v="6"/>
    <x v="3"/>
    <m/>
    <s v=""/>
    <s v=""/>
  </r>
  <r>
    <x v="57"/>
    <x v="14"/>
    <x v="26"/>
    <m/>
    <m/>
    <x v="2"/>
    <x v="6"/>
    <x v="3"/>
    <m/>
    <s v=""/>
    <s v=""/>
  </r>
  <r>
    <x v="58"/>
    <x v="14"/>
    <x v="26"/>
    <m/>
    <m/>
    <x v="2"/>
    <x v="6"/>
    <x v="3"/>
    <m/>
    <s v=""/>
    <s v=""/>
  </r>
  <r>
    <x v="59"/>
    <x v="14"/>
    <x v="26"/>
    <m/>
    <m/>
    <x v="2"/>
    <x v="6"/>
    <x v="3"/>
    <m/>
    <s v=""/>
    <s v=""/>
  </r>
  <r>
    <x v="60"/>
    <x v="14"/>
    <x v="26"/>
    <m/>
    <m/>
    <x v="2"/>
    <x v="6"/>
    <x v="3"/>
    <m/>
    <s v=""/>
    <s v=""/>
  </r>
  <r>
    <x v="61"/>
    <x v="14"/>
    <x v="26"/>
    <m/>
    <m/>
    <x v="2"/>
    <x v="6"/>
    <x v="3"/>
    <m/>
    <s v=""/>
    <s v=""/>
  </r>
  <r>
    <x v="62"/>
    <x v="14"/>
    <x v="26"/>
    <m/>
    <m/>
    <x v="2"/>
    <x v="6"/>
    <x v="3"/>
    <m/>
    <s v=""/>
    <s v=""/>
  </r>
  <r>
    <x v="63"/>
    <x v="14"/>
    <x v="26"/>
    <m/>
    <m/>
    <x v="2"/>
    <x v="6"/>
    <x v="3"/>
    <m/>
    <s v=""/>
    <s v=""/>
  </r>
  <r>
    <x v="64"/>
    <x v="14"/>
    <x v="26"/>
    <m/>
    <m/>
    <x v="2"/>
    <x v="6"/>
    <x v="3"/>
    <m/>
    <s v=""/>
    <s v=""/>
  </r>
  <r>
    <x v="65"/>
    <x v="14"/>
    <x v="26"/>
    <m/>
    <m/>
    <x v="2"/>
    <x v="6"/>
    <x v="3"/>
    <m/>
    <s v=""/>
    <s v=""/>
  </r>
  <r>
    <x v="66"/>
    <x v="14"/>
    <x v="26"/>
    <m/>
    <m/>
    <x v="2"/>
    <x v="6"/>
    <x v="3"/>
    <m/>
    <s v=""/>
    <s v=""/>
  </r>
  <r>
    <x v="67"/>
    <x v="14"/>
    <x v="26"/>
    <m/>
    <m/>
    <x v="2"/>
    <x v="6"/>
    <x v="3"/>
    <m/>
    <s v=""/>
    <s v=""/>
  </r>
  <r>
    <x v="68"/>
    <x v="14"/>
    <x v="26"/>
    <m/>
    <m/>
    <x v="2"/>
    <x v="6"/>
    <x v="3"/>
    <m/>
    <s v=""/>
    <s v=""/>
  </r>
  <r>
    <x v="69"/>
    <x v="14"/>
    <x v="26"/>
    <m/>
    <m/>
    <x v="2"/>
    <x v="6"/>
    <x v="3"/>
    <m/>
    <s v=""/>
    <s v=""/>
  </r>
  <r>
    <x v="70"/>
    <x v="14"/>
    <x v="26"/>
    <m/>
    <m/>
    <x v="2"/>
    <x v="6"/>
    <x v="3"/>
    <m/>
    <s v=""/>
    <s v=""/>
  </r>
  <r>
    <x v="71"/>
    <x v="14"/>
    <x v="26"/>
    <m/>
    <m/>
    <x v="2"/>
    <x v="6"/>
    <x v="3"/>
    <m/>
    <s v=""/>
    <s v=""/>
  </r>
  <r>
    <x v="72"/>
    <x v="14"/>
    <x v="26"/>
    <m/>
    <m/>
    <x v="2"/>
    <x v="6"/>
    <x v="3"/>
    <m/>
    <s v=""/>
    <s v=""/>
  </r>
  <r>
    <x v="73"/>
    <x v="14"/>
    <x v="26"/>
    <m/>
    <m/>
    <x v="2"/>
    <x v="6"/>
    <x v="3"/>
    <m/>
    <s v=""/>
    <s v=""/>
  </r>
  <r>
    <x v="74"/>
    <x v="14"/>
    <x v="26"/>
    <m/>
    <m/>
    <x v="2"/>
    <x v="6"/>
    <x v="3"/>
    <m/>
    <s v=""/>
    <s v=""/>
  </r>
  <r>
    <x v="75"/>
    <x v="14"/>
    <x v="26"/>
    <m/>
    <m/>
    <x v="2"/>
    <x v="6"/>
    <x v="3"/>
    <m/>
    <s v=""/>
    <s v=""/>
  </r>
  <r>
    <x v="76"/>
    <x v="14"/>
    <x v="26"/>
    <m/>
    <m/>
    <x v="2"/>
    <x v="6"/>
    <x v="3"/>
    <m/>
    <s v=""/>
    <s v=""/>
  </r>
  <r>
    <x v="77"/>
    <x v="14"/>
    <x v="26"/>
    <m/>
    <m/>
    <x v="2"/>
    <x v="6"/>
    <x v="3"/>
    <m/>
    <s v=""/>
    <s v=""/>
  </r>
  <r>
    <x v="78"/>
    <x v="14"/>
    <x v="26"/>
    <m/>
    <m/>
    <x v="2"/>
    <x v="6"/>
    <x v="3"/>
    <m/>
    <s v=""/>
    <s v=""/>
  </r>
  <r>
    <x v="79"/>
    <x v="14"/>
    <x v="26"/>
    <m/>
    <m/>
    <x v="2"/>
    <x v="6"/>
    <x v="3"/>
    <m/>
    <s v=""/>
    <s v=""/>
  </r>
  <r>
    <x v="80"/>
    <x v="14"/>
    <x v="26"/>
    <m/>
    <m/>
    <x v="2"/>
    <x v="6"/>
    <x v="3"/>
    <m/>
    <s v=""/>
    <s v=""/>
  </r>
  <r>
    <x v="81"/>
    <x v="14"/>
    <x v="26"/>
    <m/>
    <m/>
    <x v="2"/>
    <x v="6"/>
    <x v="3"/>
    <m/>
    <s v=""/>
    <s v=""/>
  </r>
  <r>
    <x v="82"/>
    <x v="14"/>
    <x v="26"/>
    <m/>
    <m/>
    <x v="2"/>
    <x v="6"/>
    <x v="3"/>
    <m/>
    <s v=""/>
    <s v=""/>
  </r>
  <r>
    <x v="83"/>
    <x v="14"/>
    <x v="26"/>
    <m/>
    <m/>
    <x v="2"/>
    <x v="6"/>
    <x v="3"/>
    <m/>
    <s v=""/>
    <s v=""/>
  </r>
  <r>
    <x v="84"/>
    <x v="14"/>
    <x v="26"/>
    <m/>
    <m/>
    <x v="2"/>
    <x v="6"/>
    <x v="3"/>
    <m/>
    <s v=""/>
    <s v=""/>
  </r>
  <r>
    <x v="85"/>
    <x v="14"/>
    <x v="26"/>
    <m/>
    <m/>
    <x v="2"/>
    <x v="6"/>
    <x v="3"/>
    <m/>
    <s v=""/>
    <s v=""/>
  </r>
  <r>
    <x v="86"/>
    <x v="14"/>
    <x v="26"/>
    <m/>
    <m/>
    <x v="2"/>
    <x v="6"/>
    <x v="3"/>
    <m/>
    <s v=""/>
    <s v=""/>
  </r>
  <r>
    <x v="87"/>
    <x v="14"/>
    <x v="26"/>
    <m/>
    <m/>
    <x v="2"/>
    <x v="6"/>
    <x v="3"/>
    <m/>
    <s v=""/>
    <s v=""/>
  </r>
  <r>
    <x v="88"/>
    <x v="14"/>
    <x v="26"/>
    <m/>
    <m/>
    <x v="2"/>
    <x v="6"/>
    <x v="3"/>
    <m/>
    <s v=""/>
    <s v=""/>
  </r>
  <r>
    <x v="89"/>
    <x v="14"/>
    <x v="26"/>
    <m/>
    <m/>
    <x v="2"/>
    <x v="6"/>
    <x v="3"/>
    <m/>
    <s v=""/>
    <s v=""/>
  </r>
  <r>
    <x v="90"/>
    <x v="14"/>
    <x v="26"/>
    <m/>
    <m/>
    <x v="2"/>
    <x v="6"/>
    <x v="3"/>
    <m/>
    <s v=""/>
    <s v=""/>
  </r>
  <r>
    <x v="91"/>
    <x v="14"/>
    <x v="26"/>
    <m/>
    <m/>
    <x v="2"/>
    <x v="6"/>
    <x v="3"/>
    <m/>
    <s v=""/>
    <s v=""/>
  </r>
  <r>
    <x v="92"/>
    <x v="14"/>
    <x v="26"/>
    <m/>
    <m/>
    <x v="2"/>
    <x v="6"/>
    <x v="3"/>
    <m/>
    <s v=""/>
    <s v=""/>
  </r>
  <r>
    <x v="93"/>
    <x v="14"/>
    <x v="26"/>
    <m/>
    <m/>
    <x v="2"/>
    <x v="6"/>
    <x v="3"/>
    <m/>
    <s v=""/>
    <s v=""/>
  </r>
  <r>
    <x v="94"/>
    <x v="14"/>
    <x v="26"/>
    <m/>
    <m/>
    <x v="2"/>
    <x v="6"/>
    <x v="3"/>
    <m/>
    <s v=""/>
    <s v=""/>
  </r>
  <r>
    <x v="95"/>
    <x v="14"/>
    <x v="26"/>
    <m/>
    <m/>
    <x v="2"/>
    <x v="6"/>
    <x v="3"/>
    <m/>
    <s v=""/>
    <s v=""/>
  </r>
  <r>
    <x v="96"/>
    <x v="14"/>
    <x v="26"/>
    <m/>
    <m/>
    <x v="2"/>
    <x v="6"/>
    <x v="3"/>
    <m/>
    <s v=""/>
    <s v=""/>
  </r>
  <r>
    <x v="97"/>
    <x v="14"/>
    <x v="26"/>
    <m/>
    <m/>
    <x v="2"/>
    <x v="6"/>
    <x v="3"/>
    <m/>
    <s v=""/>
    <s v=""/>
  </r>
  <r>
    <x v="98"/>
    <x v="14"/>
    <x v="26"/>
    <m/>
    <m/>
    <x v="2"/>
    <x v="6"/>
    <x v="3"/>
    <m/>
    <s v=""/>
    <s v=""/>
  </r>
  <r>
    <x v="99"/>
    <x v="14"/>
    <x v="26"/>
    <m/>
    <m/>
    <x v="2"/>
    <x v="6"/>
    <x v="3"/>
    <m/>
    <s v=""/>
    <s v=""/>
  </r>
  <r>
    <x v="100"/>
    <x v="14"/>
    <x v="26"/>
    <m/>
    <m/>
    <x v="2"/>
    <x v="6"/>
    <x v="3"/>
    <m/>
    <s v=""/>
    <s v=""/>
  </r>
  <r>
    <x v="101"/>
    <x v="14"/>
    <x v="26"/>
    <m/>
    <m/>
    <x v="2"/>
    <x v="6"/>
    <x v="3"/>
    <m/>
    <s v=""/>
    <s v=""/>
  </r>
  <r>
    <x v="102"/>
    <x v="14"/>
    <x v="26"/>
    <m/>
    <m/>
    <x v="2"/>
    <x v="6"/>
    <x v="3"/>
    <m/>
    <s v=""/>
    <s v=""/>
  </r>
  <r>
    <x v="103"/>
    <x v="14"/>
    <x v="26"/>
    <m/>
    <m/>
    <x v="2"/>
    <x v="6"/>
    <x v="3"/>
    <m/>
    <s v=""/>
    <s v=""/>
  </r>
  <r>
    <x v="104"/>
    <x v="14"/>
    <x v="26"/>
    <m/>
    <m/>
    <x v="2"/>
    <x v="6"/>
    <x v="3"/>
    <m/>
    <s v=""/>
    <s v=""/>
  </r>
  <r>
    <x v="105"/>
    <x v="14"/>
    <x v="26"/>
    <m/>
    <m/>
    <x v="2"/>
    <x v="6"/>
    <x v="3"/>
    <m/>
    <s v=""/>
    <s v=""/>
  </r>
  <r>
    <x v="106"/>
    <x v="14"/>
    <x v="26"/>
    <m/>
    <m/>
    <x v="2"/>
    <x v="6"/>
    <x v="3"/>
    <m/>
    <s v=""/>
    <s v=""/>
  </r>
  <r>
    <x v="107"/>
    <x v="14"/>
    <x v="26"/>
    <m/>
    <m/>
    <x v="2"/>
    <x v="6"/>
    <x v="3"/>
    <m/>
    <s v=""/>
    <s v=""/>
  </r>
  <r>
    <x v="108"/>
    <x v="14"/>
    <x v="26"/>
    <m/>
    <m/>
    <x v="2"/>
    <x v="6"/>
    <x v="3"/>
    <m/>
    <s v=""/>
    <s v=""/>
  </r>
  <r>
    <x v="109"/>
    <x v="14"/>
    <x v="26"/>
    <m/>
    <m/>
    <x v="2"/>
    <x v="6"/>
    <x v="3"/>
    <m/>
    <s v=""/>
    <s v=""/>
  </r>
  <r>
    <x v="110"/>
    <x v="14"/>
    <x v="26"/>
    <m/>
    <m/>
    <x v="2"/>
    <x v="6"/>
    <x v="3"/>
    <m/>
    <s v=""/>
    <s v=""/>
  </r>
  <r>
    <x v="111"/>
    <x v="14"/>
    <x v="26"/>
    <m/>
    <m/>
    <x v="2"/>
    <x v="6"/>
    <x v="3"/>
    <m/>
    <s v=""/>
    <s v=""/>
  </r>
  <r>
    <x v="112"/>
    <x v="14"/>
    <x v="26"/>
    <m/>
    <m/>
    <x v="2"/>
    <x v="6"/>
    <x v="3"/>
    <m/>
    <s v=""/>
    <s v=""/>
  </r>
  <r>
    <x v="113"/>
    <x v="14"/>
    <x v="26"/>
    <m/>
    <m/>
    <x v="2"/>
    <x v="6"/>
    <x v="3"/>
    <m/>
    <s v=""/>
    <s v=""/>
  </r>
  <r>
    <x v="114"/>
    <x v="14"/>
    <x v="26"/>
    <m/>
    <m/>
    <x v="2"/>
    <x v="6"/>
    <x v="3"/>
    <m/>
    <s v=""/>
    <s v=""/>
  </r>
  <r>
    <x v="115"/>
    <x v="14"/>
    <x v="26"/>
    <m/>
    <m/>
    <x v="2"/>
    <x v="6"/>
    <x v="3"/>
    <m/>
    <s v=""/>
    <s v=""/>
  </r>
  <r>
    <x v="116"/>
    <x v="14"/>
    <x v="26"/>
    <m/>
    <m/>
    <x v="2"/>
    <x v="6"/>
    <x v="3"/>
    <m/>
    <s v=""/>
    <s v=""/>
  </r>
  <r>
    <x v="117"/>
    <x v="14"/>
    <x v="26"/>
    <m/>
    <m/>
    <x v="2"/>
    <x v="6"/>
    <x v="3"/>
    <m/>
    <s v=""/>
    <s v=""/>
  </r>
  <r>
    <x v="118"/>
    <x v="14"/>
    <x v="26"/>
    <m/>
    <m/>
    <x v="2"/>
    <x v="6"/>
    <x v="3"/>
    <m/>
    <s v=""/>
    <s v=""/>
  </r>
  <r>
    <x v="119"/>
    <x v="14"/>
    <x v="26"/>
    <m/>
    <m/>
    <x v="2"/>
    <x v="6"/>
    <x v="3"/>
    <m/>
    <s v=""/>
    <s v=""/>
  </r>
  <r>
    <x v="120"/>
    <x v="14"/>
    <x v="26"/>
    <m/>
    <m/>
    <x v="2"/>
    <x v="6"/>
    <x v="3"/>
    <m/>
    <s v=""/>
    <s v=""/>
  </r>
  <r>
    <x v="121"/>
    <x v="14"/>
    <x v="26"/>
    <m/>
    <m/>
    <x v="2"/>
    <x v="6"/>
    <x v="3"/>
    <m/>
    <s v=""/>
    <s v=""/>
  </r>
  <r>
    <x v="122"/>
    <x v="14"/>
    <x v="26"/>
    <m/>
    <m/>
    <x v="2"/>
    <x v="6"/>
    <x v="3"/>
    <m/>
    <s v=""/>
    <s v=""/>
  </r>
  <r>
    <x v="123"/>
    <x v="14"/>
    <x v="26"/>
    <m/>
    <m/>
    <x v="2"/>
    <x v="6"/>
    <x v="3"/>
    <m/>
    <s v=""/>
    <s v=""/>
  </r>
  <r>
    <x v="124"/>
    <x v="14"/>
    <x v="26"/>
    <m/>
    <m/>
    <x v="2"/>
    <x v="6"/>
    <x v="3"/>
    <m/>
    <s v=""/>
    <s v=""/>
  </r>
  <r>
    <x v="125"/>
    <x v="14"/>
    <x v="26"/>
    <m/>
    <m/>
    <x v="2"/>
    <x v="6"/>
    <x v="3"/>
    <m/>
    <s v=""/>
    <s v=""/>
  </r>
  <r>
    <x v="126"/>
    <x v="14"/>
    <x v="26"/>
    <m/>
    <m/>
    <x v="2"/>
    <x v="6"/>
    <x v="3"/>
    <m/>
    <s v=""/>
    <s v=""/>
  </r>
  <r>
    <x v="127"/>
    <x v="14"/>
    <x v="26"/>
    <m/>
    <m/>
    <x v="2"/>
    <x v="6"/>
    <x v="3"/>
    <m/>
    <m/>
    <m/>
  </r>
  <r>
    <x v="128"/>
    <x v="14"/>
    <x v="26"/>
    <m/>
    <m/>
    <x v="2"/>
    <x v="6"/>
    <x v="3"/>
    <m/>
    <m/>
    <m/>
  </r>
  <r>
    <x v="129"/>
    <x v="14"/>
    <x v="26"/>
    <m/>
    <m/>
    <x v="2"/>
    <x v="6"/>
    <x v="3"/>
    <m/>
    <m/>
    <m/>
  </r>
  <r>
    <x v="130"/>
    <x v="14"/>
    <x v="26"/>
    <m/>
    <m/>
    <x v="2"/>
    <x v="6"/>
    <x v="3"/>
    <m/>
    <m/>
    <m/>
  </r>
  <r>
    <x v="131"/>
    <x v="14"/>
    <x v="26"/>
    <m/>
    <m/>
    <x v="2"/>
    <x v="6"/>
    <x v="3"/>
    <m/>
    <m/>
    <m/>
  </r>
  <r>
    <x v="132"/>
    <x v="14"/>
    <x v="26"/>
    <m/>
    <m/>
    <x v="2"/>
    <x v="6"/>
    <x v="3"/>
    <m/>
    <m/>
    <m/>
  </r>
  <r>
    <x v="133"/>
    <x v="14"/>
    <x v="26"/>
    <m/>
    <m/>
    <x v="2"/>
    <x v="6"/>
    <x v="3"/>
    <m/>
    <m/>
    <m/>
  </r>
  <r>
    <x v="134"/>
    <x v="14"/>
    <x v="26"/>
    <m/>
    <m/>
    <x v="2"/>
    <x v="6"/>
    <x v="3"/>
    <m/>
    <m/>
    <m/>
  </r>
  <r>
    <x v="135"/>
    <x v="14"/>
    <x v="26"/>
    <m/>
    <m/>
    <x v="2"/>
    <x v="6"/>
    <x v="3"/>
    <m/>
    <m/>
    <m/>
  </r>
  <r>
    <x v="136"/>
    <x v="14"/>
    <x v="26"/>
    <m/>
    <m/>
    <x v="2"/>
    <x v="6"/>
    <x v="3"/>
    <m/>
    <m/>
    <m/>
  </r>
  <r>
    <x v="137"/>
    <x v="14"/>
    <x v="26"/>
    <m/>
    <m/>
    <x v="2"/>
    <x v="6"/>
    <x v="3"/>
    <m/>
    <m/>
    <m/>
  </r>
  <r>
    <x v="138"/>
    <x v="14"/>
    <x v="26"/>
    <m/>
    <m/>
    <x v="2"/>
    <x v="6"/>
    <x v="3"/>
    <m/>
    <m/>
    <m/>
  </r>
  <r>
    <x v="139"/>
    <x v="14"/>
    <x v="26"/>
    <m/>
    <m/>
    <x v="2"/>
    <x v="6"/>
    <x v="3"/>
    <m/>
    <m/>
    <m/>
  </r>
  <r>
    <x v="140"/>
    <x v="14"/>
    <x v="26"/>
    <m/>
    <m/>
    <x v="2"/>
    <x v="6"/>
    <x v="3"/>
    <m/>
    <m/>
    <m/>
  </r>
  <r>
    <x v="141"/>
    <x v="14"/>
    <x v="26"/>
    <m/>
    <m/>
    <x v="2"/>
    <x v="6"/>
    <x v="3"/>
    <m/>
    <m/>
    <m/>
  </r>
  <r>
    <x v="142"/>
    <x v="14"/>
    <x v="26"/>
    <m/>
    <m/>
    <x v="2"/>
    <x v="6"/>
    <x v="3"/>
    <m/>
    <m/>
    <m/>
  </r>
  <r>
    <x v="143"/>
    <x v="14"/>
    <x v="26"/>
    <m/>
    <m/>
    <x v="2"/>
    <x v="6"/>
    <x v="3"/>
    <m/>
    <m/>
    <m/>
  </r>
  <r>
    <x v="144"/>
    <x v="14"/>
    <x v="26"/>
    <m/>
    <m/>
    <x v="2"/>
    <x v="6"/>
    <x v="3"/>
    <m/>
    <m/>
    <m/>
  </r>
  <r>
    <x v="145"/>
    <x v="14"/>
    <x v="26"/>
    <m/>
    <m/>
    <x v="2"/>
    <x v="6"/>
    <x v="3"/>
    <m/>
    <m/>
    <m/>
  </r>
  <r>
    <x v="146"/>
    <x v="14"/>
    <x v="26"/>
    <m/>
    <m/>
    <x v="2"/>
    <x v="6"/>
    <x v="3"/>
    <m/>
    <m/>
    <m/>
  </r>
  <r>
    <x v="147"/>
    <x v="14"/>
    <x v="26"/>
    <m/>
    <m/>
    <x v="2"/>
    <x v="6"/>
    <x v="3"/>
    <m/>
    <m/>
    <m/>
  </r>
  <r>
    <x v="148"/>
    <x v="14"/>
    <x v="26"/>
    <m/>
    <m/>
    <x v="2"/>
    <x v="6"/>
    <x v="3"/>
    <m/>
    <m/>
    <m/>
  </r>
  <r>
    <x v="149"/>
    <x v="14"/>
    <x v="26"/>
    <m/>
    <m/>
    <x v="2"/>
    <x v="6"/>
    <x v="3"/>
    <m/>
    <m/>
    <m/>
  </r>
  <r>
    <x v="150"/>
    <x v="14"/>
    <x v="26"/>
    <m/>
    <m/>
    <x v="2"/>
    <x v="6"/>
    <x v="3"/>
    <m/>
    <m/>
    <m/>
  </r>
  <r>
    <x v="151"/>
    <x v="14"/>
    <x v="26"/>
    <m/>
    <m/>
    <x v="2"/>
    <x v="6"/>
    <x v="3"/>
    <m/>
    <m/>
    <m/>
  </r>
  <r>
    <x v="152"/>
    <x v="14"/>
    <x v="26"/>
    <m/>
    <m/>
    <x v="2"/>
    <x v="6"/>
    <x v="3"/>
    <m/>
    <m/>
    <m/>
  </r>
  <r>
    <x v="153"/>
    <x v="14"/>
    <x v="26"/>
    <m/>
    <m/>
    <x v="2"/>
    <x v="6"/>
    <x v="3"/>
    <m/>
    <m/>
    <m/>
  </r>
  <r>
    <x v="154"/>
    <x v="14"/>
    <x v="26"/>
    <m/>
    <m/>
    <x v="2"/>
    <x v="6"/>
    <x v="3"/>
    <m/>
    <m/>
    <m/>
  </r>
  <r>
    <x v="155"/>
    <x v="14"/>
    <x v="26"/>
    <m/>
    <m/>
    <x v="2"/>
    <x v="6"/>
    <x v="3"/>
    <m/>
    <m/>
    <m/>
  </r>
  <r>
    <x v="156"/>
    <x v="14"/>
    <x v="26"/>
    <m/>
    <m/>
    <x v="2"/>
    <x v="6"/>
    <x v="3"/>
    <m/>
    <m/>
    <m/>
  </r>
  <r>
    <x v="157"/>
    <x v="14"/>
    <x v="26"/>
    <m/>
    <m/>
    <x v="2"/>
    <x v="6"/>
    <x v="3"/>
    <m/>
    <m/>
    <m/>
  </r>
  <r>
    <x v="158"/>
    <x v="14"/>
    <x v="26"/>
    <m/>
    <m/>
    <x v="2"/>
    <x v="6"/>
    <x v="3"/>
    <m/>
    <m/>
    <m/>
  </r>
  <r>
    <x v="159"/>
    <x v="14"/>
    <x v="26"/>
    <m/>
    <m/>
    <x v="2"/>
    <x v="6"/>
    <x v="3"/>
    <m/>
    <m/>
    <m/>
  </r>
  <r>
    <x v="160"/>
    <x v="14"/>
    <x v="26"/>
    <m/>
    <m/>
    <x v="2"/>
    <x v="6"/>
    <x v="3"/>
    <m/>
    <m/>
    <m/>
  </r>
  <r>
    <x v="161"/>
    <x v="14"/>
    <x v="26"/>
    <m/>
    <m/>
    <x v="2"/>
    <x v="6"/>
    <x v="3"/>
    <m/>
    <m/>
    <m/>
  </r>
  <r>
    <x v="162"/>
    <x v="14"/>
    <x v="26"/>
    <m/>
    <m/>
    <x v="2"/>
    <x v="6"/>
    <x v="3"/>
    <m/>
    <m/>
    <m/>
  </r>
  <r>
    <x v="163"/>
    <x v="14"/>
    <x v="26"/>
    <m/>
    <m/>
    <x v="2"/>
    <x v="6"/>
    <x v="3"/>
    <m/>
    <m/>
    <m/>
  </r>
  <r>
    <x v="164"/>
    <x v="14"/>
    <x v="26"/>
    <m/>
    <m/>
    <x v="2"/>
    <x v="6"/>
    <x v="3"/>
    <m/>
    <m/>
    <m/>
  </r>
  <r>
    <x v="165"/>
    <x v="14"/>
    <x v="26"/>
    <m/>
    <m/>
    <x v="2"/>
    <x v="6"/>
    <x v="3"/>
    <m/>
    <m/>
    <m/>
  </r>
  <r>
    <x v="166"/>
    <x v="14"/>
    <x v="26"/>
    <m/>
    <m/>
    <x v="2"/>
    <x v="6"/>
    <x v="3"/>
    <m/>
    <m/>
    <m/>
  </r>
  <r>
    <x v="167"/>
    <x v="14"/>
    <x v="26"/>
    <m/>
    <m/>
    <x v="2"/>
    <x v="6"/>
    <x v="3"/>
    <m/>
    <m/>
    <m/>
  </r>
  <r>
    <x v="168"/>
    <x v="14"/>
    <x v="26"/>
    <m/>
    <m/>
    <x v="2"/>
    <x v="6"/>
    <x v="3"/>
    <m/>
    <m/>
    <m/>
  </r>
  <r>
    <x v="169"/>
    <x v="14"/>
    <x v="26"/>
    <m/>
    <m/>
    <x v="2"/>
    <x v="6"/>
    <x v="3"/>
    <m/>
    <m/>
    <m/>
  </r>
  <r>
    <x v="170"/>
    <x v="14"/>
    <x v="26"/>
    <m/>
    <m/>
    <x v="2"/>
    <x v="6"/>
    <x v="3"/>
    <m/>
    <m/>
    <m/>
  </r>
  <r>
    <x v="171"/>
    <x v="14"/>
    <x v="26"/>
    <m/>
    <m/>
    <x v="2"/>
    <x v="6"/>
    <x v="3"/>
    <m/>
    <m/>
    <m/>
  </r>
  <r>
    <x v="172"/>
    <x v="14"/>
    <x v="26"/>
    <m/>
    <m/>
    <x v="2"/>
    <x v="6"/>
    <x v="3"/>
    <m/>
    <m/>
    <m/>
  </r>
  <r>
    <x v="173"/>
    <x v="14"/>
    <x v="26"/>
    <m/>
    <m/>
    <x v="2"/>
    <x v="6"/>
    <x v="3"/>
    <m/>
    <m/>
    <m/>
  </r>
  <r>
    <x v="174"/>
    <x v="14"/>
    <x v="26"/>
    <m/>
    <m/>
    <x v="2"/>
    <x v="6"/>
    <x v="3"/>
    <m/>
    <m/>
    <m/>
  </r>
  <r>
    <x v="175"/>
    <x v="14"/>
    <x v="26"/>
    <m/>
    <m/>
    <x v="2"/>
    <x v="6"/>
    <x v="3"/>
    <m/>
    <m/>
    <m/>
  </r>
  <r>
    <x v="176"/>
    <x v="14"/>
    <x v="26"/>
    <m/>
    <m/>
    <x v="2"/>
    <x v="6"/>
    <x v="3"/>
    <m/>
    <m/>
    <m/>
  </r>
  <r>
    <x v="177"/>
    <x v="14"/>
    <x v="26"/>
    <m/>
    <m/>
    <x v="2"/>
    <x v="6"/>
    <x v="3"/>
    <m/>
    <m/>
    <m/>
  </r>
  <r>
    <x v="178"/>
    <x v="14"/>
    <x v="26"/>
    <m/>
    <m/>
    <x v="2"/>
    <x v="6"/>
    <x v="3"/>
    <m/>
    <m/>
    <m/>
  </r>
  <r>
    <x v="179"/>
    <x v="14"/>
    <x v="26"/>
    <m/>
    <m/>
    <x v="2"/>
    <x v="6"/>
    <x v="3"/>
    <m/>
    <m/>
    <m/>
  </r>
  <r>
    <x v="180"/>
    <x v="14"/>
    <x v="26"/>
    <m/>
    <m/>
    <x v="2"/>
    <x v="6"/>
    <x v="3"/>
    <m/>
    <m/>
    <m/>
  </r>
  <r>
    <x v="181"/>
    <x v="14"/>
    <x v="26"/>
    <m/>
    <m/>
    <x v="2"/>
    <x v="6"/>
    <x v="3"/>
    <m/>
    <m/>
    <m/>
  </r>
  <r>
    <x v="182"/>
    <x v="14"/>
    <x v="26"/>
    <m/>
    <m/>
    <x v="2"/>
    <x v="6"/>
    <x v="3"/>
    <m/>
    <m/>
    <m/>
  </r>
  <r>
    <x v="183"/>
    <x v="14"/>
    <x v="26"/>
    <m/>
    <m/>
    <x v="2"/>
    <x v="6"/>
    <x v="3"/>
    <m/>
    <m/>
    <m/>
  </r>
  <r>
    <x v="184"/>
    <x v="14"/>
    <x v="26"/>
    <m/>
    <m/>
    <x v="2"/>
    <x v="6"/>
    <x v="3"/>
    <m/>
    <m/>
    <m/>
  </r>
  <r>
    <x v="185"/>
    <x v="14"/>
    <x v="26"/>
    <m/>
    <m/>
    <x v="2"/>
    <x v="6"/>
    <x v="3"/>
    <m/>
    <m/>
    <m/>
  </r>
  <r>
    <x v="186"/>
    <x v="14"/>
    <x v="26"/>
    <m/>
    <m/>
    <x v="2"/>
    <x v="6"/>
    <x v="3"/>
    <m/>
    <m/>
    <m/>
  </r>
  <r>
    <x v="187"/>
    <x v="14"/>
    <x v="26"/>
    <m/>
    <m/>
    <x v="2"/>
    <x v="6"/>
    <x v="3"/>
    <m/>
    <m/>
    <m/>
  </r>
  <r>
    <x v="188"/>
    <x v="14"/>
    <x v="26"/>
    <m/>
    <m/>
    <x v="2"/>
    <x v="6"/>
    <x v="3"/>
    <m/>
    <m/>
    <m/>
  </r>
  <r>
    <x v="189"/>
    <x v="14"/>
    <x v="26"/>
    <m/>
    <m/>
    <x v="2"/>
    <x v="6"/>
    <x v="3"/>
    <m/>
    <m/>
    <m/>
  </r>
  <r>
    <x v="190"/>
    <x v="14"/>
    <x v="26"/>
    <m/>
    <m/>
    <x v="2"/>
    <x v="6"/>
    <x v="3"/>
    <m/>
    <m/>
    <m/>
  </r>
  <r>
    <x v="191"/>
    <x v="14"/>
    <x v="26"/>
    <m/>
    <m/>
    <x v="2"/>
    <x v="6"/>
    <x v="3"/>
    <m/>
    <m/>
    <m/>
  </r>
  <r>
    <x v="192"/>
    <x v="14"/>
    <x v="26"/>
    <m/>
    <m/>
    <x v="2"/>
    <x v="6"/>
    <x v="3"/>
    <m/>
    <m/>
    <m/>
  </r>
  <r>
    <x v="193"/>
    <x v="14"/>
    <x v="26"/>
    <m/>
    <m/>
    <x v="2"/>
    <x v="6"/>
    <x v="3"/>
    <m/>
    <m/>
    <m/>
  </r>
  <r>
    <x v="194"/>
    <x v="14"/>
    <x v="26"/>
    <m/>
    <m/>
    <x v="2"/>
    <x v="6"/>
    <x v="3"/>
    <m/>
    <m/>
    <m/>
  </r>
  <r>
    <x v="195"/>
    <x v="14"/>
    <x v="26"/>
    <m/>
    <m/>
    <x v="2"/>
    <x v="6"/>
    <x v="3"/>
    <m/>
    <m/>
    <m/>
  </r>
  <r>
    <x v="196"/>
    <x v="14"/>
    <x v="26"/>
    <m/>
    <m/>
    <x v="2"/>
    <x v="6"/>
    <x v="3"/>
    <m/>
    <m/>
    <m/>
  </r>
  <r>
    <x v="197"/>
    <x v="14"/>
    <x v="26"/>
    <m/>
    <m/>
    <x v="2"/>
    <x v="6"/>
    <x v="3"/>
    <m/>
    <m/>
    <m/>
  </r>
  <r>
    <x v="198"/>
    <x v="14"/>
    <x v="26"/>
    <m/>
    <m/>
    <x v="2"/>
    <x v="6"/>
    <x v="3"/>
    <m/>
    <m/>
    <m/>
  </r>
  <r>
    <x v="199"/>
    <x v="14"/>
    <x v="26"/>
    <m/>
    <m/>
    <x v="2"/>
    <x v="6"/>
    <x v="3"/>
    <m/>
    <m/>
    <m/>
  </r>
  <r>
    <x v="200"/>
    <x v="14"/>
    <x v="26"/>
    <m/>
    <m/>
    <x v="2"/>
    <x v="6"/>
    <x v="3"/>
    <m/>
    <m/>
    <m/>
  </r>
  <r>
    <x v="201"/>
    <x v="14"/>
    <x v="26"/>
    <m/>
    <m/>
    <x v="2"/>
    <x v="6"/>
    <x v="3"/>
    <m/>
    <m/>
    <m/>
  </r>
  <r>
    <x v="202"/>
    <x v="14"/>
    <x v="26"/>
    <m/>
    <m/>
    <x v="2"/>
    <x v="6"/>
    <x v="3"/>
    <m/>
    <m/>
    <m/>
  </r>
  <r>
    <x v="203"/>
    <x v="14"/>
    <x v="26"/>
    <m/>
    <m/>
    <x v="2"/>
    <x v="6"/>
    <x v="3"/>
    <m/>
    <m/>
    <m/>
  </r>
  <r>
    <x v="204"/>
    <x v="14"/>
    <x v="26"/>
    <m/>
    <m/>
    <x v="2"/>
    <x v="6"/>
    <x v="3"/>
    <m/>
    <m/>
    <m/>
  </r>
  <r>
    <x v="205"/>
    <x v="14"/>
    <x v="26"/>
    <m/>
    <m/>
    <x v="2"/>
    <x v="6"/>
    <x v="3"/>
    <m/>
    <m/>
    <m/>
  </r>
  <r>
    <x v="206"/>
    <x v="14"/>
    <x v="26"/>
    <m/>
    <m/>
    <x v="2"/>
    <x v="6"/>
    <x v="3"/>
    <m/>
    <m/>
    <m/>
  </r>
  <r>
    <x v="207"/>
    <x v="14"/>
    <x v="26"/>
    <m/>
    <m/>
    <x v="2"/>
    <x v="6"/>
    <x v="3"/>
    <m/>
    <m/>
    <m/>
  </r>
  <r>
    <x v="208"/>
    <x v="14"/>
    <x v="26"/>
    <m/>
    <m/>
    <x v="2"/>
    <x v="6"/>
    <x v="3"/>
    <m/>
    <m/>
    <m/>
  </r>
  <r>
    <x v="209"/>
    <x v="14"/>
    <x v="26"/>
    <m/>
    <m/>
    <x v="2"/>
    <x v="6"/>
    <x v="3"/>
    <m/>
    <m/>
    <m/>
  </r>
  <r>
    <x v="210"/>
    <x v="14"/>
    <x v="26"/>
    <m/>
    <m/>
    <x v="2"/>
    <x v="6"/>
    <x v="3"/>
    <m/>
    <m/>
    <m/>
  </r>
  <r>
    <x v="211"/>
    <x v="14"/>
    <x v="26"/>
    <m/>
    <m/>
    <x v="2"/>
    <x v="6"/>
    <x v="3"/>
    <m/>
    <m/>
    <m/>
  </r>
  <r>
    <x v="212"/>
    <x v="14"/>
    <x v="26"/>
    <m/>
    <m/>
    <x v="2"/>
    <x v="6"/>
    <x v="3"/>
    <m/>
    <m/>
    <m/>
  </r>
  <r>
    <x v="213"/>
    <x v="14"/>
    <x v="26"/>
    <m/>
    <m/>
    <x v="2"/>
    <x v="6"/>
    <x v="3"/>
    <m/>
    <m/>
    <m/>
  </r>
  <r>
    <x v="214"/>
    <x v="14"/>
    <x v="26"/>
    <m/>
    <m/>
    <x v="2"/>
    <x v="6"/>
    <x v="3"/>
    <m/>
    <m/>
    <m/>
  </r>
  <r>
    <x v="215"/>
    <x v="14"/>
    <x v="26"/>
    <m/>
    <m/>
    <x v="2"/>
    <x v="6"/>
    <x v="3"/>
    <m/>
    <m/>
    <m/>
  </r>
  <r>
    <x v="216"/>
    <x v="14"/>
    <x v="26"/>
    <m/>
    <m/>
    <x v="2"/>
    <x v="6"/>
    <x v="3"/>
    <m/>
    <m/>
    <m/>
  </r>
  <r>
    <x v="217"/>
    <x v="14"/>
    <x v="26"/>
    <m/>
    <m/>
    <x v="2"/>
    <x v="6"/>
    <x v="3"/>
    <m/>
    <m/>
    <m/>
  </r>
  <r>
    <x v="218"/>
    <x v="14"/>
    <x v="26"/>
    <m/>
    <m/>
    <x v="2"/>
    <x v="6"/>
    <x v="3"/>
    <m/>
    <m/>
    <m/>
  </r>
  <r>
    <x v="219"/>
    <x v="14"/>
    <x v="26"/>
    <m/>
    <m/>
    <x v="2"/>
    <x v="6"/>
    <x v="3"/>
    <m/>
    <m/>
    <m/>
  </r>
  <r>
    <x v="220"/>
    <x v="14"/>
    <x v="26"/>
    <m/>
    <m/>
    <x v="2"/>
    <x v="6"/>
    <x v="3"/>
    <m/>
    <m/>
    <m/>
  </r>
  <r>
    <x v="221"/>
    <x v="14"/>
    <x v="26"/>
    <m/>
    <m/>
    <x v="2"/>
    <x v="6"/>
    <x v="3"/>
    <m/>
    <m/>
    <m/>
  </r>
  <r>
    <x v="222"/>
    <x v="14"/>
    <x v="26"/>
    <m/>
    <m/>
    <x v="2"/>
    <x v="6"/>
    <x v="3"/>
    <m/>
    <m/>
    <m/>
  </r>
  <r>
    <x v="223"/>
    <x v="14"/>
    <x v="26"/>
    <m/>
    <m/>
    <x v="2"/>
    <x v="6"/>
    <x v="3"/>
    <m/>
    <m/>
    <m/>
  </r>
  <r>
    <x v="224"/>
    <x v="14"/>
    <x v="26"/>
    <m/>
    <m/>
    <x v="2"/>
    <x v="6"/>
    <x v="3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5">
  <r>
    <x v="0"/>
    <x v="0"/>
    <x v="0"/>
    <m/>
    <n v="50608.14"/>
    <x v="0"/>
    <x v="0"/>
    <x v="0"/>
  </r>
  <r>
    <x v="1"/>
    <x v="1"/>
    <x v="1"/>
    <n v="17.600000000000001"/>
    <m/>
    <x v="1"/>
    <x v="1"/>
    <x v="1"/>
  </r>
  <r>
    <x v="2"/>
    <x v="2"/>
    <x v="2"/>
    <n v="194.04"/>
    <m/>
    <x v="1"/>
    <x v="1"/>
    <x v="2"/>
  </r>
  <r>
    <x v="3"/>
    <x v="2"/>
    <x v="3"/>
    <n v="342.83"/>
    <m/>
    <x v="1"/>
    <x v="1"/>
    <x v="2"/>
  </r>
  <r>
    <x v="4"/>
    <x v="2"/>
    <x v="4"/>
    <n v="211.42"/>
    <m/>
    <x v="1"/>
    <x v="2"/>
    <x v="2"/>
  </r>
  <r>
    <x v="5"/>
    <x v="3"/>
    <x v="1"/>
    <n v="64.77"/>
    <m/>
    <x v="1"/>
    <x v="1"/>
    <x v="2"/>
  </r>
  <r>
    <x v="6"/>
    <x v="3"/>
    <x v="5"/>
    <n v="780.07"/>
    <m/>
    <x v="1"/>
    <x v="1"/>
    <x v="2"/>
  </r>
  <r>
    <x v="7"/>
    <x v="3"/>
    <x v="6"/>
    <n v="191.24"/>
    <m/>
    <x v="1"/>
    <x v="1"/>
    <x v="2"/>
  </r>
  <r>
    <x v="8"/>
    <x v="4"/>
    <x v="7"/>
    <n v="197.74"/>
    <m/>
    <x v="1"/>
    <x v="1"/>
    <x v="2"/>
  </r>
  <r>
    <x v="9"/>
    <x v="4"/>
    <x v="8"/>
    <n v="383"/>
    <m/>
    <x v="1"/>
    <x v="3"/>
    <x v="2"/>
  </r>
  <r>
    <x v="10"/>
    <x v="4"/>
    <x v="9"/>
    <n v="229.73"/>
    <m/>
    <x v="1"/>
    <x v="1"/>
    <x v="2"/>
  </r>
  <r>
    <x v="11"/>
    <x v="4"/>
    <x v="10"/>
    <n v="462.59"/>
    <m/>
    <x v="1"/>
    <x v="1"/>
    <x v="2"/>
  </r>
  <r>
    <x v="12"/>
    <x v="4"/>
    <x v="1"/>
    <n v="35.19"/>
    <m/>
    <x v="1"/>
    <x v="1"/>
    <x v="2"/>
  </r>
  <r>
    <x v="13"/>
    <x v="4"/>
    <x v="1"/>
    <n v="52.79"/>
    <m/>
    <x v="1"/>
    <x v="1"/>
    <x v="2"/>
  </r>
  <r>
    <x v="14"/>
    <x v="4"/>
    <x v="11"/>
    <n v="113.27"/>
    <m/>
    <x v="1"/>
    <x v="1"/>
    <x v="2"/>
  </r>
  <r>
    <x v="15"/>
    <x v="4"/>
    <x v="12"/>
    <n v="106.6"/>
    <m/>
    <x v="1"/>
    <x v="1"/>
    <x v="2"/>
  </r>
  <r>
    <x v="16"/>
    <x v="4"/>
    <x v="13"/>
    <n v="300.77"/>
    <m/>
    <x v="1"/>
    <x v="1"/>
    <x v="2"/>
  </r>
  <r>
    <x v="17"/>
    <x v="4"/>
    <x v="14"/>
    <n v="253.41"/>
    <m/>
    <x v="1"/>
    <x v="2"/>
    <x v="2"/>
  </r>
  <r>
    <x v="18"/>
    <x v="5"/>
    <x v="15"/>
    <n v="75"/>
    <m/>
    <x v="1"/>
    <x v="4"/>
    <x v="2"/>
  </r>
  <r>
    <x v="19"/>
    <x v="6"/>
    <x v="16"/>
    <n v="87.9"/>
    <m/>
    <x v="1"/>
    <x v="1"/>
    <x v="2"/>
  </r>
  <r>
    <x v="20"/>
    <x v="6"/>
    <x v="17"/>
    <n v="324.02999999999997"/>
    <m/>
    <x v="1"/>
    <x v="1"/>
    <x v="2"/>
  </r>
  <r>
    <x v="21"/>
    <x v="6"/>
    <x v="17"/>
    <n v="223.3"/>
    <m/>
    <x v="1"/>
    <x v="1"/>
    <x v="2"/>
  </r>
  <r>
    <x v="22"/>
    <x v="7"/>
    <x v="18"/>
    <n v="242.49"/>
    <m/>
    <x v="1"/>
    <x v="1"/>
    <x v="2"/>
  </r>
  <r>
    <x v="23"/>
    <x v="7"/>
    <x v="19"/>
    <n v="221.97"/>
    <m/>
    <x v="1"/>
    <x v="1"/>
    <x v="2"/>
  </r>
  <r>
    <x v="24"/>
    <x v="7"/>
    <x v="1"/>
    <n v="116.19"/>
    <m/>
    <x v="1"/>
    <x v="1"/>
    <x v="2"/>
  </r>
  <r>
    <x v="25"/>
    <x v="8"/>
    <x v="20"/>
    <n v="227.21"/>
    <m/>
    <x v="1"/>
    <x v="1"/>
    <x v="2"/>
  </r>
  <r>
    <x v="26"/>
    <x v="8"/>
    <x v="21"/>
    <n v="234.32"/>
    <m/>
    <x v="1"/>
    <x v="1"/>
    <x v="2"/>
  </r>
  <r>
    <x v="27"/>
    <x v="8"/>
    <x v="22"/>
    <n v="106.7"/>
    <m/>
    <x v="1"/>
    <x v="1"/>
    <x v="2"/>
  </r>
  <r>
    <x v="28"/>
    <x v="9"/>
    <x v="1"/>
    <n v="47.67"/>
    <m/>
    <x v="1"/>
    <x v="1"/>
    <x v="2"/>
  </r>
  <r>
    <x v="29"/>
    <x v="10"/>
    <x v="19"/>
    <n v="45.72"/>
    <m/>
    <x v="1"/>
    <x v="1"/>
    <x v="2"/>
  </r>
  <r>
    <x v="30"/>
    <x v="10"/>
    <x v="23"/>
    <n v="163.33000000000001"/>
    <m/>
    <x v="1"/>
    <x v="1"/>
    <x v="2"/>
  </r>
  <r>
    <x v="31"/>
    <x v="10"/>
    <x v="13"/>
    <n v="623.91999999999996"/>
    <m/>
    <x v="1"/>
    <x v="1"/>
    <x v="2"/>
  </r>
  <r>
    <x v="32"/>
    <x v="10"/>
    <x v="7"/>
    <n v="221.67"/>
    <m/>
    <x v="1"/>
    <x v="1"/>
    <x v="2"/>
  </r>
  <r>
    <x v="33"/>
    <x v="10"/>
    <x v="18"/>
    <n v="133.85"/>
    <m/>
    <x v="1"/>
    <x v="1"/>
    <x v="2"/>
  </r>
  <r>
    <x v="34"/>
    <x v="10"/>
    <x v="10"/>
    <n v="424.49"/>
    <m/>
    <x v="1"/>
    <x v="1"/>
    <x v="2"/>
  </r>
  <r>
    <x v="35"/>
    <x v="10"/>
    <x v="17"/>
    <n v="223.3"/>
    <m/>
    <x v="1"/>
    <x v="1"/>
    <x v="2"/>
  </r>
  <r>
    <x v="36"/>
    <x v="10"/>
    <x v="17"/>
    <n v="269.27999999999997"/>
    <m/>
    <x v="1"/>
    <x v="1"/>
    <x v="2"/>
  </r>
  <r>
    <x v="37"/>
    <x v="10"/>
    <x v="12"/>
    <n v="303.39999999999998"/>
    <m/>
    <x v="1"/>
    <x v="1"/>
    <x v="2"/>
  </r>
  <r>
    <x v="38"/>
    <x v="10"/>
    <x v="6"/>
    <n v="190.04"/>
    <m/>
    <x v="1"/>
    <x v="1"/>
    <x v="2"/>
  </r>
  <r>
    <x v="39"/>
    <x v="10"/>
    <x v="6"/>
    <n v="326.37"/>
    <m/>
    <x v="1"/>
    <x v="1"/>
    <x v="2"/>
  </r>
  <r>
    <x v="40"/>
    <x v="10"/>
    <x v="5"/>
    <n v="320.74"/>
    <m/>
    <x v="1"/>
    <x v="1"/>
    <x v="2"/>
  </r>
  <r>
    <x v="41"/>
    <x v="11"/>
    <x v="24"/>
    <m/>
    <n v="17510.189999999999"/>
    <x v="0"/>
    <x v="5"/>
    <x v="2"/>
  </r>
  <r>
    <x v="42"/>
    <x v="12"/>
    <x v="1"/>
    <n v="35.19"/>
    <m/>
    <x v="1"/>
    <x v="1"/>
    <x v="2"/>
  </r>
  <r>
    <x v="43"/>
    <x v="12"/>
    <x v="3"/>
    <n v="353.3"/>
    <m/>
    <x v="1"/>
    <x v="1"/>
    <x v="2"/>
  </r>
  <r>
    <x v="44"/>
    <x v="13"/>
    <x v="1"/>
    <n v="118.06"/>
    <m/>
    <x v="1"/>
    <x v="1"/>
    <x v="2"/>
  </r>
  <r>
    <x v="45"/>
    <x v="13"/>
    <x v="9"/>
    <n v="327.85"/>
    <m/>
    <x v="1"/>
    <x v="1"/>
    <x v="2"/>
  </r>
  <r>
    <x v="46"/>
    <x v="13"/>
    <x v="20"/>
    <n v="160.32"/>
    <m/>
    <x v="1"/>
    <x v="1"/>
    <x v="2"/>
  </r>
  <r>
    <x v="47"/>
    <x v="13"/>
    <x v="25"/>
    <n v="112.5"/>
    <m/>
    <x v="1"/>
    <x v="1"/>
    <x v="2"/>
  </r>
  <r>
    <x v="48"/>
    <x v="13"/>
    <x v="25"/>
    <n v="284.10000000000002"/>
    <m/>
    <x v="1"/>
    <x v="1"/>
    <x v="2"/>
  </r>
  <r>
    <x v="49"/>
    <x v="14"/>
    <x v="26"/>
    <m/>
    <m/>
    <x v="2"/>
    <x v="6"/>
    <x v="3"/>
  </r>
  <r>
    <x v="50"/>
    <x v="14"/>
    <x v="26"/>
    <m/>
    <m/>
    <x v="2"/>
    <x v="6"/>
    <x v="3"/>
  </r>
  <r>
    <x v="51"/>
    <x v="14"/>
    <x v="26"/>
    <m/>
    <m/>
    <x v="2"/>
    <x v="6"/>
    <x v="3"/>
  </r>
  <r>
    <x v="52"/>
    <x v="14"/>
    <x v="26"/>
    <m/>
    <m/>
    <x v="2"/>
    <x v="6"/>
    <x v="3"/>
  </r>
  <r>
    <x v="53"/>
    <x v="14"/>
    <x v="26"/>
    <m/>
    <m/>
    <x v="2"/>
    <x v="6"/>
    <x v="3"/>
  </r>
  <r>
    <x v="54"/>
    <x v="14"/>
    <x v="26"/>
    <m/>
    <m/>
    <x v="2"/>
    <x v="6"/>
    <x v="3"/>
  </r>
  <r>
    <x v="55"/>
    <x v="14"/>
    <x v="26"/>
    <m/>
    <m/>
    <x v="2"/>
    <x v="6"/>
    <x v="3"/>
  </r>
  <r>
    <x v="56"/>
    <x v="14"/>
    <x v="26"/>
    <m/>
    <m/>
    <x v="2"/>
    <x v="6"/>
    <x v="3"/>
  </r>
  <r>
    <x v="57"/>
    <x v="14"/>
    <x v="26"/>
    <m/>
    <m/>
    <x v="2"/>
    <x v="6"/>
    <x v="3"/>
  </r>
  <r>
    <x v="58"/>
    <x v="14"/>
    <x v="26"/>
    <m/>
    <m/>
    <x v="2"/>
    <x v="6"/>
    <x v="3"/>
  </r>
  <r>
    <x v="59"/>
    <x v="14"/>
    <x v="26"/>
    <m/>
    <m/>
    <x v="2"/>
    <x v="6"/>
    <x v="3"/>
  </r>
  <r>
    <x v="60"/>
    <x v="14"/>
    <x v="26"/>
    <m/>
    <m/>
    <x v="2"/>
    <x v="6"/>
    <x v="3"/>
  </r>
  <r>
    <x v="61"/>
    <x v="14"/>
    <x v="26"/>
    <m/>
    <m/>
    <x v="2"/>
    <x v="6"/>
    <x v="3"/>
  </r>
  <r>
    <x v="62"/>
    <x v="14"/>
    <x v="26"/>
    <m/>
    <m/>
    <x v="2"/>
    <x v="6"/>
    <x v="3"/>
  </r>
  <r>
    <x v="63"/>
    <x v="14"/>
    <x v="26"/>
    <m/>
    <m/>
    <x v="2"/>
    <x v="6"/>
    <x v="3"/>
  </r>
  <r>
    <x v="64"/>
    <x v="14"/>
    <x v="26"/>
    <m/>
    <m/>
    <x v="2"/>
    <x v="6"/>
    <x v="3"/>
  </r>
  <r>
    <x v="65"/>
    <x v="14"/>
    <x v="26"/>
    <m/>
    <m/>
    <x v="2"/>
    <x v="6"/>
    <x v="3"/>
  </r>
  <r>
    <x v="66"/>
    <x v="14"/>
    <x v="26"/>
    <m/>
    <m/>
    <x v="2"/>
    <x v="6"/>
    <x v="3"/>
  </r>
  <r>
    <x v="67"/>
    <x v="14"/>
    <x v="26"/>
    <m/>
    <m/>
    <x v="2"/>
    <x v="6"/>
    <x v="3"/>
  </r>
  <r>
    <x v="68"/>
    <x v="14"/>
    <x v="26"/>
    <m/>
    <m/>
    <x v="2"/>
    <x v="6"/>
    <x v="3"/>
  </r>
  <r>
    <x v="69"/>
    <x v="14"/>
    <x v="26"/>
    <m/>
    <m/>
    <x v="2"/>
    <x v="6"/>
    <x v="3"/>
  </r>
  <r>
    <x v="70"/>
    <x v="14"/>
    <x v="26"/>
    <m/>
    <m/>
    <x v="2"/>
    <x v="6"/>
    <x v="3"/>
  </r>
  <r>
    <x v="71"/>
    <x v="14"/>
    <x v="26"/>
    <m/>
    <m/>
    <x v="2"/>
    <x v="6"/>
    <x v="3"/>
  </r>
  <r>
    <x v="72"/>
    <x v="14"/>
    <x v="26"/>
    <m/>
    <m/>
    <x v="2"/>
    <x v="6"/>
    <x v="3"/>
  </r>
  <r>
    <x v="73"/>
    <x v="14"/>
    <x v="26"/>
    <m/>
    <m/>
    <x v="2"/>
    <x v="6"/>
    <x v="3"/>
  </r>
  <r>
    <x v="74"/>
    <x v="14"/>
    <x v="26"/>
    <m/>
    <m/>
    <x v="2"/>
    <x v="6"/>
    <x v="3"/>
  </r>
  <r>
    <x v="75"/>
    <x v="14"/>
    <x v="26"/>
    <m/>
    <m/>
    <x v="2"/>
    <x v="6"/>
    <x v="3"/>
  </r>
  <r>
    <x v="76"/>
    <x v="14"/>
    <x v="26"/>
    <m/>
    <m/>
    <x v="2"/>
    <x v="6"/>
    <x v="3"/>
  </r>
  <r>
    <x v="77"/>
    <x v="14"/>
    <x v="26"/>
    <m/>
    <m/>
    <x v="2"/>
    <x v="6"/>
    <x v="3"/>
  </r>
  <r>
    <x v="78"/>
    <x v="14"/>
    <x v="26"/>
    <m/>
    <m/>
    <x v="2"/>
    <x v="6"/>
    <x v="3"/>
  </r>
  <r>
    <x v="79"/>
    <x v="14"/>
    <x v="26"/>
    <m/>
    <m/>
    <x v="2"/>
    <x v="6"/>
    <x v="3"/>
  </r>
  <r>
    <x v="80"/>
    <x v="14"/>
    <x v="26"/>
    <m/>
    <m/>
    <x v="2"/>
    <x v="6"/>
    <x v="3"/>
  </r>
  <r>
    <x v="81"/>
    <x v="14"/>
    <x v="26"/>
    <m/>
    <m/>
    <x v="2"/>
    <x v="6"/>
    <x v="3"/>
  </r>
  <r>
    <x v="82"/>
    <x v="14"/>
    <x v="26"/>
    <m/>
    <m/>
    <x v="2"/>
    <x v="6"/>
    <x v="3"/>
  </r>
  <r>
    <x v="83"/>
    <x v="14"/>
    <x v="26"/>
    <m/>
    <m/>
    <x v="2"/>
    <x v="6"/>
    <x v="3"/>
  </r>
  <r>
    <x v="84"/>
    <x v="14"/>
    <x v="26"/>
    <m/>
    <m/>
    <x v="2"/>
    <x v="6"/>
    <x v="3"/>
  </r>
  <r>
    <x v="85"/>
    <x v="14"/>
    <x v="26"/>
    <m/>
    <m/>
    <x v="2"/>
    <x v="6"/>
    <x v="3"/>
  </r>
  <r>
    <x v="86"/>
    <x v="14"/>
    <x v="26"/>
    <m/>
    <m/>
    <x v="2"/>
    <x v="6"/>
    <x v="3"/>
  </r>
  <r>
    <x v="87"/>
    <x v="14"/>
    <x v="26"/>
    <m/>
    <m/>
    <x v="2"/>
    <x v="6"/>
    <x v="3"/>
  </r>
  <r>
    <x v="88"/>
    <x v="14"/>
    <x v="26"/>
    <m/>
    <m/>
    <x v="2"/>
    <x v="6"/>
    <x v="3"/>
  </r>
  <r>
    <x v="89"/>
    <x v="14"/>
    <x v="26"/>
    <m/>
    <m/>
    <x v="2"/>
    <x v="6"/>
    <x v="3"/>
  </r>
  <r>
    <x v="90"/>
    <x v="14"/>
    <x v="26"/>
    <m/>
    <m/>
    <x v="2"/>
    <x v="6"/>
    <x v="3"/>
  </r>
  <r>
    <x v="91"/>
    <x v="14"/>
    <x v="26"/>
    <m/>
    <m/>
    <x v="2"/>
    <x v="6"/>
    <x v="3"/>
  </r>
  <r>
    <x v="92"/>
    <x v="14"/>
    <x v="26"/>
    <m/>
    <m/>
    <x v="2"/>
    <x v="6"/>
    <x v="3"/>
  </r>
  <r>
    <x v="93"/>
    <x v="14"/>
    <x v="26"/>
    <m/>
    <m/>
    <x v="2"/>
    <x v="6"/>
    <x v="3"/>
  </r>
  <r>
    <x v="94"/>
    <x v="14"/>
    <x v="26"/>
    <m/>
    <m/>
    <x v="2"/>
    <x v="6"/>
    <x v="3"/>
  </r>
  <r>
    <x v="95"/>
    <x v="14"/>
    <x v="26"/>
    <m/>
    <m/>
    <x v="2"/>
    <x v="6"/>
    <x v="3"/>
  </r>
  <r>
    <x v="96"/>
    <x v="14"/>
    <x v="26"/>
    <m/>
    <m/>
    <x v="2"/>
    <x v="6"/>
    <x v="3"/>
  </r>
  <r>
    <x v="97"/>
    <x v="14"/>
    <x v="26"/>
    <m/>
    <m/>
    <x v="2"/>
    <x v="6"/>
    <x v="3"/>
  </r>
  <r>
    <x v="98"/>
    <x v="14"/>
    <x v="26"/>
    <m/>
    <m/>
    <x v="2"/>
    <x v="6"/>
    <x v="3"/>
  </r>
  <r>
    <x v="99"/>
    <x v="14"/>
    <x v="26"/>
    <m/>
    <m/>
    <x v="2"/>
    <x v="6"/>
    <x v="3"/>
  </r>
  <r>
    <x v="100"/>
    <x v="14"/>
    <x v="26"/>
    <m/>
    <m/>
    <x v="2"/>
    <x v="6"/>
    <x v="3"/>
  </r>
  <r>
    <x v="101"/>
    <x v="14"/>
    <x v="26"/>
    <m/>
    <m/>
    <x v="2"/>
    <x v="6"/>
    <x v="3"/>
  </r>
  <r>
    <x v="102"/>
    <x v="14"/>
    <x v="26"/>
    <m/>
    <m/>
    <x v="2"/>
    <x v="6"/>
    <x v="3"/>
  </r>
  <r>
    <x v="103"/>
    <x v="14"/>
    <x v="26"/>
    <m/>
    <m/>
    <x v="2"/>
    <x v="6"/>
    <x v="3"/>
  </r>
  <r>
    <x v="104"/>
    <x v="14"/>
    <x v="26"/>
    <m/>
    <m/>
    <x v="2"/>
    <x v="6"/>
    <x v="3"/>
  </r>
  <r>
    <x v="105"/>
    <x v="14"/>
    <x v="26"/>
    <m/>
    <m/>
    <x v="2"/>
    <x v="6"/>
    <x v="3"/>
  </r>
  <r>
    <x v="106"/>
    <x v="14"/>
    <x v="26"/>
    <m/>
    <m/>
    <x v="2"/>
    <x v="6"/>
    <x v="3"/>
  </r>
  <r>
    <x v="107"/>
    <x v="14"/>
    <x v="26"/>
    <m/>
    <m/>
    <x v="2"/>
    <x v="6"/>
    <x v="3"/>
  </r>
  <r>
    <x v="108"/>
    <x v="14"/>
    <x v="26"/>
    <m/>
    <m/>
    <x v="2"/>
    <x v="6"/>
    <x v="3"/>
  </r>
  <r>
    <x v="109"/>
    <x v="14"/>
    <x v="26"/>
    <m/>
    <m/>
    <x v="2"/>
    <x v="6"/>
    <x v="3"/>
  </r>
  <r>
    <x v="110"/>
    <x v="14"/>
    <x v="26"/>
    <m/>
    <m/>
    <x v="2"/>
    <x v="6"/>
    <x v="3"/>
  </r>
  <r>
    <x v="111"/>
    <x v="14"/>
    <x v="26"/>
    <m/>
    <m/>
    <x v="2"/>
    <x v="6"/>
    <x v="3"/>
  </r>
  <r>
    <x v="112"/>
    <x v="14"/>
    <x v="26"/>
    <m/>
    <m/>
    <x v="2"/>
    <x v="6"/>
    <x v="3"/>
  </r>
  <r>
    <x v="113"/>
    <x v="14"/>
    <x v="26"/>
    <m/>
    <m/>
    <x v="2"/>
    <x v="6"/>
    <x v="3"/>
  </r>
  <r>
    <x v="114"/>
    <x v="14"/>
    <x v="26"/>
    <m/>
    <m/>
    <x v="2"/>
    <x v="6"/>
    <x v="3"/>
  </r>
  <r>
    <x v="115"/>
    <x v="14"/>
    <x v="26"/>
    <m/>
    <m/>
    <x v="2"/>
    <x v="6"/>
    <x v="3"/>
  </r>
  <r>
    <x v="116"/>
    <x v="14"/>
    <x v="26"/>
    <m/>
    <m/>
    <x v="2"/>
    <x v="6"/>
    <x v="3"/>
  </r>
  <r>
    <x v="117"/>
    <x v="14"/>
    <x v="26"/>
    <m/>
    <m/>
    <x v="2"/>
    <x v="6"/>
    <x v="3"/>
  </r>
  <r>
    <x v="118"/>
    <x v="14"/>
    <x v="26"/>
    <m/>
    <m/>
    <x v="2"/>
    <x v="6"/>
    <x v="3"/>
  </r>
  <r>
    <x v="119"/>
    <x v="14"/>
    <x v="26"/>
    <m/>
    <m/>
    <x v="2"/>
    <x v="6"/>
    <x v="3"/>
  </r>
  <r>
    <x v="120"/>
    <x v="14"/>
    <x v="26"/>
    <m/>
    <m/>
    <x v="2"/>
    <x v="6"/>
    <x v="3"/>
  </r>
  <r>
    <x v="121"/>
    <x v="14"/>
    <x v="26"/>
    <m/>
    <m/>
    <x v="2"/>
    <x v="6"/>
    <x v="3"/>
  </r>
  <r>
    <x v="122"/>
    <x v="14"/>
    <x v="26"/>
    <m/>
    <m/>
    <x v="2"/>
    <x v="6"/>
    <x v="3"/>
  </r>
  <r>
    <x v="123"/>
    <x v="14"/>
    <x v="26"/>
    <m/>
    <m/>
    <x v="2"/>
    <x v="6"/>
    <x v="3"/>
  </r>
  <r>
    <x v="124"/>
    <x v="14"/>
    <x v="26"/>
    <m/>
    <m/>
    <x v="2"/>
    <x v="6"/>
    <x v="3"/>
  </r>
  <r>
    <x v="125"/>
    <x v="14"/>
    <x v="26"/>
    <m/>
    <m/>
    <x v="2"/>
    <x v="6"/>
    <x v="3"/>
  </r>
  <r>
    <x v="126"/>
    <x v="14"/>
    <x v="26"/>
    <m/>
    <m/>
    <x v="2"/>
    <x v="6"/>
    <x v="3"/>
  </r>
  <r>
    <x v="127"/>
    <x v="14"/>
    <x v="26"/>
    <m/>
    <m/>
    <x v="2"/>
    <x v="6"/>
    <x v="3"/>
  </r>
  <r>
    <x v="128"/>
    <x v="14"/>
    <x v="26"/>
    <m/>
    <m/>
    <x v="2"/>
    <x v="6"/>
    <x v="3"/>
  </r>
  <r>
    <x v="129"/>
    <x v="14"/>
    <x v="26"/>
    <m/>
    <m/>
    <x v="2"/>
    <x v="6"/>
    <x v="3"/>
  </r>
  <r>
    <x v="130"/>
    <x v="14"/>
    <x v="26"/>
    <m/>
    <m/>
    <x v="2"/>
    <x v="6"/>
    <x v="3"/>
  </r>
  <r>
    <x v="131"/>
    <x v="14"/>
    <x v="26"/>
    <m/>
    <m/>
    <x v="2"/>
    <x v="6"/>
    <x v="3"/>
  </r>
  <r>
    <x v="132"/>
    <x v="14"/>
    <x v="26"/>
    <m/>
    <m/>
    <x v="2"/>
    <x v="6"/>
    <x v="3"/>
  </r>
  <r>
    <x v="133"/>
    <x v="14"/>
    <x v="26"/>
    <m/>
    <m/>
    <x v="2"/>
    <x v="6"/>
    <x v="3"/>
  </r>
  <r>
    <x v="134"/>
    <x v="14"/>
    <x v="26"/>
    <m/>
    <m/>
    <x v="2"/>
    <x v="6"/>
    <x v="3"/>
  </r>
  <r>
    <x v="135"/>
    <x v="14"/>
    <x v="26"/>
    <m/>
    <m/>
    <x v="2"/>
    <x v="6"/>
    <x v="3"/>
  </r>
  <r>
    <x v="136"/>
    <x v="14"/>
    <x v="26"/>
    <m/>
    <m/>
    <x v="2"/>
    <x v="6"/>
    <x v="3"/>
  </r>
  <r>
    <x v="137"/>
    <x v="14"/>
    <x v="26"/>
    <m/>
    <m/>
    <x v="2"/>
    <x v="6"/>
    <x v="3"/>
  </r>
  <r>
    <x v="138"/>
    <x v="14"/>
    <x v="26"/>
    <m/>
    <m/>
    <x v="2"/>
    <x v="6"/>
    <x v="3"/>
  </r>
  <r>
    <x v="139"/>
    <x v="14"/>
    <x v="26"/>
    <m/>
    <m/>
    <x v="2"/>
    <x v="6"/>
    <x v="3"/>
  </r>
  <r>
    <x v="140"/>
    <x v="14"/>
    <x v="26"/>
    <m/>
    <m/>
    <x v="2"/>
    <x v="6"/>
    <x v="3"/>
  </r>
  <r>
    <x v="141"/>
    <x v="14"/>
    <x v="26"/>
    <m/>
    <m/>
    <x v="2"/>
    <x v="6"/>
    <x v="3"/>
  </r>
  <r>
    <x v="142"/>
    <x v="14"/>
    <x v="26"/>
    <m/>
    <m/>
    <x v="2"/>
    <x v="6"/>
    <x v="3"/>
  </r>
  <r>
    <x v="143"/>
    <x v="14"/>
    <x v="26"/>
    <m/>
    <m/>
    <x v="2"/>
    <x v="6"/>
    <x v="3"/>
  </r>
  <r>
    <x v="144"/>
    <x v="14"/>
    <x v="26"/>
    <m/>
    <m/>
    <x v="2"/>
    <x v="6"/>
    <x v="3"/>
  </r>
  <r>
    <x v="145"/>
    <x v="14"/>
    <x v="26"/>
    <m/>
    <m/>
    <x v="2"/>
    <x v="6"/>
    <x v="3"/>
  </r>
  <r>
    <x v="146"/>
    <x v="14"/>
    <x v="26"/>
    <m/>
    <m/>
    <x v="2"/>
    <x v="6"/>
    <x v="3"/>
  </r>
  <r>
    <x v="147"/>
    <x v="14"/>
    <x v="26"/>
    <m/>
    <m/>
    <x v="2"/>
    <x v="6"/>
    <x v="3"/>
  </r>
  <r>
    <x v="148"/>
    <x v="14"/>
    <x v="26"/>
    <m/>
    <m/>
    <x v="2"/>
    <x v="6"/>
    <x v="3"/>
  </r>
  <r>
    <x v="149"/>
    <x v="14"/>
    <x v="26"/>
    <m/>
    <m/>
    <x v="2"/>
    <x v="6"/>
    <x v="3"/>
  </r>
  <r>
    <x v="150"/>
    <x v="14"/>
    <x v="26"/>
    <m/>
    <m/>
    <x v="2"/>
    <x v="6"/>
    <x v="3"/>
  </r>
  <r>
    <x v="151"/>
    <x v="14"/>
    <x v="26"/>
    <m/>
    <m/>
    <x v="2"/>
    <x v="6"/>
    <x v="3"/>
  </r>
  <r>
    <x v="152"/>
    <x v="14"/>
    <x v="26"/>
    <m/>
    <m/>
    <x v="2"/>
    <x v="6"/>
    <x v="3"/>
  </r>
  <r>
    <x v="153"/>
    <x v="14"/>
    <x v="26"/>
    <m/>
    <m/>
    <x v="2"/>
    <x v="6"/>
    <x v="3"/>
  </r>
  <r>
    <x v="154"/>
    <x v="14"/>
    <x v="26"/>
    <m/>
    <m/>
    <x v="2"/>
    <x v="6"/>
    <x v="3"/>
  </r>
  <r>
    <x v="155"/>
    <x v="14"/>
    <x v="26"/>
    <m/>
    <m/>
    <x v="2"/>
    <x v="6"/>
    <x v="3"/>
  </r>
  <r>
    <x v="156"/>
    <x v="14"/>
    <x v="26"/>
    <m/>
    <m/>
    <x v="2"/>
    <x v="6"/>
    <x v="3"/>
  </r>
  <r>
    <x v="157"/>
    <x v="14"/>
    <x v="26"/>
    <m/>
    <m/>
    <x v="2"/>
    <x v="6"/>
    <x v="3"/>
  </r>
  <r>
    <x v="158"/>
    <x v="14"/>
    <x v="26"/>
    <m/>
    <m/>
    <x v="2"/>
    <x v="6"/>
    <x v="3"/>
  </r>
  <r>
    <x v="159"/>
    <x v="14"/>
    <x v="26"/>
    <m/>
    <m/>
    <x v="2"/>
    <x v="6"/>
    <x v="3"/>
  </r>
  <r>
    <x v="160"/>
    <x v="14"/>
    <x v="26"/>
    <m/>
    <m/>
    <x v="2"/>
    <x v="6"/>
    <x v="3"/>
  </r>
  <r>
    <x v="161"/>
    <x v="14"/>
    <x v="26"/>
    <m/>
    <m/>
    <x v="2"/>
    <x v="6"/>
    <x v="3"/>
  </r>
  <r>
    <x v="162"/>
    <x v="14"/>
    <x v="26"/>
    <m/>
    <m/>
    <x v="2"/>
    <x v="6"/>
    <x v="3"/>
  </r>
  <r>
    <x v="163"/>
    <x v="14"/>
    <x v="26"/>
    <m/>
    <m/>
    <x v="2"/>
    <x v="6"/>
    <x v="3"/>
  </r>
  <r>
    <x v="164"/>
    <x v="14"/>
    <x v="26"/>
    <m/>
    <m/>
    <x v="2"/>
    <x v="6"/>
    <x v="3"/>
  </r>
  <r>
    <x v="165"/>
    <x v="14"/>
    <x v="26"/>
    <m/>
    <m/>
    <x v="2"/>
    <x v="6"/>
    <x v="3"/>
  </r>
  <r>
    <x v="166"/>
    <x v="14"/>
    <x v="26"/>
    <m/>
    <m/>
    <x v="2"/>
    <x v="6"/>
    <x v="3"/>
  </r>
  <r>
    <x v="167"/>
    <x v="14"/>
    <x v="26"/>
    <m/>
    <m/>
    <x v="2"/>
    <x v="6"/>
    <x v="3"/>
  </r>
  <r>
    <x v="168"/>
    <x v="14"/>
    <x v="26"/>
    <m/>
    <m/>
    <x v="2"/>
    <x v="6"/>
    <x v="3"/>
  </r>
  <r>
    <x v="169"/>
    <x v="14"/>
    <x v="26"/>
    <m/>
    <m/>
    <x v="2"/>
    <x v="6"/>
    <x v="3"/>
  </r>
  <r>
    <x v="170"/>
    <x v="14"/>
    <x v="26"/>
    <m/>
    <m/>
    <x v="2"/>
    <x v="6"/>
    <x v="3"/>
  </r>
  <r>
    <x v="171"/>
    <x v="14"/>
    <x v="26"/>
    <m/>
    <m/>
    <x v="2"/>
    <x v="6"/>
    <x v="3"/>
  </r>
  <r>
    <x v="172"/>
    <x v="14"/>
    <x v="26"/>
    <m/>
    <m/>
    <x v="2"/>
    <x v="6"/>
    <x v="3"/>
  </r>
  <r>
    <x v="173"/>
    <x v="14"/>
    <x v="26"/>
    <m/>
    <m/>
    <x v="2"/>
    <x v="6"/>
    <x v="3"/>
  </r>
  <r>
    <x v="174"/>
    <x v="14"/>
    <x v="26"/>
    <m/>
    <m/>
    <x v="2"/>
    <x v="6"/>
    <x v="3"/>
  </r>
  <r>
    <x v="175"/>
    <x v="14"/>
    <x v="26"/>
    <m/>
    <m/>
    <x v="2"/>
    <x v="6"/>
    <x v="3"/>
  </r>
  <r>
    <x v="176"/>
    <x v="14"/>
    <x v="26"/>
    <m/>
    <m/>
    <x v="2"/>
    <x v="6"/>
    <x v="3"/>
  </r>
  <r>
    <x v="177"/>
    <x v="14"/>
    <x v="26"/>
    <m/>
    <m/>
    <x v="2"/>
    <x v="6"/>
    <x v="3"/>
  </r>
  <r>
    <x v="178"/>
    <x v="14"/>
    <x v="26"/>
    <m/>
    <m/>
    <x v="2"/>
    <x v="6"/>
    <x v="3"/>
  </r>
  <r>
    <x v="179"/>
    <x v="14"/>
    <x v="26"/>
    <m/>
    <m/>
    <x v="2"/>
    <x v="6"/>
    <x v="3"/>
  </r>
  <r>
    <x v="180"/>
    <x v="14"/>
    <x v="26"/>
    <m/>
    <m/>
    <x v="2"/>
    <x v="6"/>
    <x v="3"/>
  </r>
  <r>
    <x v="181"/>
    <x v="14"/>
    <x v="26"/>
    <m/>
    <m/>
    <x v="2"/>
    <x v="6"/>
    <x v="3"/>
  </r>
  <r>
    <x v="182"/>
    <x v="14"/>
    <x v="26"/>
    <m/>
    <m/>
    <x v="2"/>
    <x v="6"/>
    <x v="3"/>
  </r>
  <r>
    <x v="183"/>
    <x v="14"/>
    <x v="26"/>
    <m/>
    <m/>
    <x v="2"/>
    <x v="6"/>
    <x v="3"/>
  </r>
  <r>
    <x v="184"/>
    <x v="14"/>
    <x v="26"/>
    <m/>
    <m/>
    <x v="2"/>
    <x v="6"/>
    <x v="3"/>
  </r>
  <r>
    <x v="185"/>
    <x v="14"/>
    <x v="26"/>
    <m/>
    <m/>
    <x v="2"/>
    <x v="6"/>
    <x v="3"/>
  </r>
  <r>
    <x v="186"/>
    <x v="14"/>
    <x v="26"/>
    <m/>
    <m/>
    <x v="2"/>
    <x v="6"/>
    <x v="3"/>
  </r>
  <r>
    <x v="187"/>
    <x v="14"/>
    <x v="26"/>
    <m/>
    <m/>
    <x v="2"/>
    <x v="6"/>
    <x v="3"/>
  </r>
  <r>
    <x v="188"/>
    <x v="14"/>
    <x v="26"/>
    <m/>
    <m/>
    <x v="2"/>
    <x v="6"/>
    <x v="3"/>
  </r>
  <r>
    <x v="189"/>
    <x v="14"/>
    <x v="26"/>
    <m/>
    <m/>
    <x v="2"/>
    <x v="6"/>
    <x v="3"/>
  </r>
  <r>
    <x v="190"/>
    <x v="14"/>
    <x v="26"/>
    <m/>
    <m/>
    <x v="2"/>
    <x v="6"/>
    <x v="3"/>
  </r>
  <r>
    <x v="191"/>
    <x v="14"/>
    <x v="26"/>
    <m/>
    <m/>
    <x v="2"/>
    <x v="6"/>
    <x v="3"/>
  </r>
  <r>
    <x v="192"/>
    <x v="14"/>
    <x v="26"/>
    <m/>
    <m/>
    <x v="2"/>
    <x v="6"/>
    <x v="3"/>
  </r>
  <r>
    <x v="193"/>
    <x v="14"/>
    <x v="26"/>
    <m/>
    <m/>
    <x v="2"/>
    <x v="6"/>
    <x v="3"/>
  </r>
  <r>
    <x v="194"/>
    <x v="14"/>
    <x v="26"/>
    <m/>
    <m/>
    <x v="2"/>
    <x v="6"/>
    <x v="3"/>
  </r>
  <r>
    <x v="195"/>
    <x v="14"/>
    <x v="26"/>
    <m/>
    <m/>
    <x v="2"/>
    <x v="6"/>
    <x v="3"/>
  </r>
  <r>
    <x v="196"/>
    <x v="14"/>
    <x v="26"/>
    <m/>
    <m/>
    <x v="2"/>
    <x v="6"/>
    <x v="3"/>
  </r>
  <r>
    <x v="197"/>
    <x v="14"/>
    <x v="26"/>
    <m/>
    <m/>
    <x v="2"/>
    <x v="6"/>
    <x v="3"/>
  </r>
  <r>
    <x v="198"/>
    <x v="14"/>
    <x v="26"/>
    <m/>
    <m/>
    <x v="2"/>
    <x v="6"/>
    <x v="3"/>
  </r>
  <r>
    <x v="199"/>
    <x v="14"/>
    <x v="26"/>
    <m/>
    <m/>
    <x v="2"/>
    <x v="6"/>
    <x v="3"/>
  </r>
  <r>
    <x v="200"/>
    <x v="14"/>
    <x v="26"/>
    <m/>
    <m/>
    <x v="2"/>
    <x v="6"/>
    <x v="3"/>
  </r>
  <r>
    <x v="201"/>
    <x v="14"/>
    <x v="26"/>
    <m/>
    <m/>
    <x v="2"/>
    <x v="6"/>
    <x v="3"/>
  </r>
  <r>
    <x v="202"/>
    <x v="14"/>
    <x v="26"/>
    <m/>
    <m/>
    <x v="2"/>
    <x v="6"/>
    <x v="3"/>
  </r>
  <r>
    <x v="203"/>
    <x v="14"/>
    <x v="26"/>
    <m/>
    <m/>
    <x v="2"/>
    <x v="6"/>
    <x v="3"/>
  </r>
  <r>
    <x v="204"/>
    <x v="14"/>
    <x v="26"/>
    <m/>
    <m/>
    <x v="2"/>
    <x v="6"/>
    <x v="3"/>
  </r>
  <r>
    <x v="205"/>
    <x v="14"/>
    <x v="26"/>
    <m/>
    <m/>
    <x v="2"/>
    <x v="6"/>
    <x v="3"/>
  </r>
  <r>
    <x v="206"/>
    <x v="14"/>
    <x v="26"/>
    <m/>
    <m/>
    <x v="2"/>
    <x v="6"/>
    <x v="3"/>
  </r>
  <r>
    <x v="207"/>
    <x v="14"/>
    <x v="26"/>
    <m/>
    <m/>
    <x v="2"/>
    <x v="6"/>
    <x v="3"/>
  </r>
  <r>
    <x v="208"/>
    <x v="14"/>
    <x v="26"/>
    <m/>
    <m/>
    <x v="2"/>
    <x v="6"/>
    <x v="3"/>
  </r>
  <r>
    <x v="209"/>
    <x v="14"/>
    <x v="26"/>
    <m/>
    <m/>
    <x v="2"/>
    <x v="6"/>
    <x v="3"/>
  </r>
  <r>
    <x v="210"/>
    <x v="14"/>
    <x v="26"/>
    <m/>
    <m/>
    <x v="2"/>
    <x v="6"/>
    <x v="3"/>
  </r>
  <r>
    <x v="211"/>
    <x v="14"/>
    <x v="26"/>
    <m/>
    <m/>
    <x v="2"/>
    <x v="6"/>
    <x v="3"/>
  </r>
  <r>
    <x v="212"/>
    <x v="14"/>
    <x v="26"/>
    <m/>
    <m/>
    <x v="2"/>
    <x v="6"/>
    <x v="3"/>
  </r>
  <r>
    <x v="213"/>
    <x v="14"/>
    <x v="26"/>
    <m/>
    <m/>
    <x v="2"/>
    <x v="6"/>
    <x v="3"/>
  </r>
  <r>
    <x v="214"/>
    <x v="14"/>
    <x v="26"/>
    <m/>
    <m/>
    <x v="2"/>
    <x v="6"/>
    <x v="3"/>
  </r>
  <r>
    <x v="215"/>
    <x v="14"/>
    <x v="26"/>
    <m/>
    <m/>
    <x v="2"/>
    <x v="6"/>
    <x v="3"/>
  </r>
  <r>
    <x v="216"/>
    <x v="14"/>
    <x v="26"/>
    <m/>
    <m/>
    <x v="2"/>
    <x v="6"/>
    <x v="3"/>
  </r>
  <r>
    <x v="217"/>
    <x v="14"/>
    <x v="26"/>
    <m/>
    <m/>
    <x v="2"/>
    <x v="6"/>
    <x v="3"/>
  </r>
  <r>
    <x v="218"/>
    <x v="14"/>
    <x v="26"/>
    <m/>
    <m/>
    <x v="2"/>
    <x v="6"/>
    <x v="3"/>
  </r>
  <r>
    <x v="219"/>
    <x v="14"/>
    <x v="26"/>
    <m/>
    <m/>
    <x v="2"/>
    <x v="6"/>
    <x v="3"/>
  </r>
  <r>
    <x v="220"/>
    <x v="14"/>
    <x v="26"/>
    <m/>
    <m/>
    <x v="2"/>
    <x v="6"/>
    <x v="3"/>
  </r>
  <r>
    <x v="221"/>
    <x v="14"/>
    <x v="26"/>
    <m/>
    <m/>
    <x v="2"/>
    <x v="6"/>
    <x v="3"/>
  </r>
  <r>
    <x v="222"/>
    <x v="14"/>
    <x v="26"/>
    <m/>
    <m/>
    <x v="2"/>
    <x v="6"/>
    <x v="3"/>
  </r>
  <r>
    <x v="223"/>
    <x v="14"/>
    <x v="26"/>
    <m/>
    <m/>
    <x v="2"/>
    <x v="6"/>
    <x v="3"/>
  </r>
  <r>
    <x v="224"/>
    <x v="14"/>
    <x v="26"/>
    <m/>
    <m/>
    <x v="2"/>
    <x v="6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la dinámica4" cacheId="49" applyNumberFormats="0" applyBorderFormats="0" applyFontFormats="0" applyPatternFormats="0" applyAlignmentFormats="0" applyWidthHeightFormats="1" dataCaption="Valores" updatedVersion="7" minRefreshableVersion="3" showDrill="0" useAutoFormatting="1" itemPrintTitles="1" createdVersion="8" indent="0" compact="0" compactData="0" multipleFieldFilters="0">
  <location ref="A4:F61" firstHeaderRow="1" firstDataRow="1" firstDataCol="5" rowPageCount="1" colPageCount="1"/>
  <pivotFields count="8">
    <pivotField axis="axisRow" compact="0" outline="0" subtotalTop="0" showAll="0" defaultSubtotal="0">
      <items count="2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224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</items>
    </pivotField>
    <pivotField axis="axisRow" compact="0" outline="0" subtotalTop="0" showAll="0" sortType="ascending" defaultSubtotal="0">
      <items count="41">
        <item m="1" x="39"/>
        <item m="1" x="24"/>
        <item m="1" x="38"/>
        <item m="1" x="16"/>
        <item m="1" x="25"/>
        <item m="1" x="21"/>
        <item m="1" x="35"/>
        <item m="1" x="18"/>
        <item m="1" x="34"/>
        <item m="1" x="32"/>
        <item m="1" x="29"/>
        <item m="1" x="23"/>
        <item m="1" x="37"/>
        <item m="1" x="31"/>
        <item m="1" x="28"/>
        <item m="1" x="20"/>
        <item m="1" x="27"/>
        <item m="1" x="15"/>
        <item m="1" x="26"/>
        <item m="1" x="19"/>
        <item m="1" x="40"/>
        <item m="1" x="33"/>
        <item m="1" x="22"/>
        <item m="1" x="36"/>
        <item m="1" x="30"/>
        <item m="1" x="17"/>
        <item x="0"/>
        <item x="1"/>
        <item x="2"/>
        <item x="3"/>
        <item x="4"/>
        <item x="5"/>
        <item x="6"/>
        <item x="7"/>
        <item x="8"/>
        <item x="9"/>
        <item x="10"/>
        <item x="12"/>
        <item x="13"/>
        <item x="11"/>
        <item x="14"/>
      </items>
    </pivotField>
    <pivotField axis="axisRow" compact="0" outline="0" subtotalTop="0" showAll="0" sortType="ascending">
      <items count="61">
        <item x="10"/>
        <item m="1" x="37"/>
        <item x="16"/>
        <item m="1" x="34"/>
        <item m="1" x="40"/>
        <item m="1" x="59"/>
        <item m="1" x="41"/>
        <item m="1" x="31"/>
        <item m="1" x="42"/>
        <item x="3"/>
        <item m="1" x="52"/>
        <item m="1" x="50"/>
        <item x="24"/>
        <item m="1" x="44"/>
        <item m="1" x="32"/>
        <item x="23"/>
        <item x="18"/>
        <item x="11"/>
        <item m="1" x="27"/>
        <item m="1" x="55"/>
        <item m="1" x="58"/>
        <item m="1" x="51"/>
        <item x="2"/>
        <item m="1" x="29"/>
        <item x="25"/>
        <item m="1" x="49"/>
        <item m="1" x="56"/>
        <item x="17"/>
        <item x="13"/>
        <item m="1" x="57"/>
        <item m="1" x="53"/>
        <item x="7"/>
        <item m="1" x="30"/>
        <item x="6"/>
        <item x="14"/>
        <item m="1" x="54"/>
        <item m="1" x="48"/>
        <item x="12"/>
        <item m="1" x="33"/>
        <item m="1" x="28"/>
        <item m="1" x="35"/>
        <item m="1" x="36"/>
        <item x="15"/>
        <item m="1" x="47"/>
        <item m="1" x="39"/>
        <item m="1" x="45"/>
        <item x="4"/>
        <item x="8"/>
        <item m="1" x="46"/>
        <item m="1" x="38"/>
        <item x="0"/>
        <item x="21"/>
        <item x="22"/>
        <item x="19"/>
        <item x="9"/>
        <item m="1" x="43"/>
        <item x="20"/>
        <item x="1"/>
        <item x="5"/>
        <item x="26"/>
        <item t="default"/>
      </items>
    </pivotField>
    <pivotField dataField="1" compact="0" outline="0" subtotalTop="0" showAll="0"/>
    <pivotField compact="0" outline="0" subtotalTop="0" showAll="0"/>
    <pivotField axis="axisPage" compact="0" outline="0" subtotalTop="0" showAll="0">
      <items count="4">
        <item x="1"/>
        <item h="1" x="0"/>
        <item h="1" x="2"/>
        <item t="default"/>
      </items>
    </pivotField>
    <pivotField axis="axisRow" compact="0" outline="0" subtotalTop="0" showAll="0">
      <items count="9">
        <item m="1" x="7"/>
        <item x="0"/>
        <item x="6"/>
        <item x="1"/>
        <item x="2"/>
        <item x="3"/>
        <item x="4"/>
        <item x="5"/>
        <item t="default"/>
      </items>
    </pivotField>
    <pivotField axis="axisRow" compact="0" outline="0" subtotalTop="0" showAll="0">
      <items count="5">
        <item h="1" x="0"/>
        <item x="2"/>
        <item x="3"/>
        <item x="1"/>
        <item t="default"/>
      </items>
    </pivotField>
  </pivotFields>
  <rowFields count="5">
    <field x="6"/>
    <field x="7"/>
    <field x="1"/>
    <field x="0"/>
    <field x="2"/>
  </rowFields>
  <rowItems count="57">
    <i>
      <x v="3"/>
      <x v="1"/>
      <x v="28"/>
      <x v="2"/>
      <x v="22"/>
    </i>
    <i r="3">
      <x v="3"/>
      <x v="9"/>
    </i>
    <i r="2">
      <x v="29"/>
      <x v="5"/>
      <x v="57"/>
    </i>
    <i r="3">
      <x v="6"/>
      <x v="58"/>
    </i>
    <i r="3">
      <x v="7"/>
      <x v="33"/>
    </i>
    <i r="2">
      <x v="30"/>
      <x v="8"/>
      <x v="31"/>
    </i>
    <i r="3">
      <x v="10"/>
      <x v="54"/>
    </i>
    <i r="3">
      <x v="11"/>
      <x/>
    </i>
    <i r="3">
      <x v="12"/>
      <x v="57"/>
    </i>
    <i r="3">
      <x v="13"/>
      <x v="57"/>
    </i>
    <i r="3">
      <x v="14"/>
      <x v="17"/>
    </i>
    <i r="3">
      <x v="15"/>
      <x v="37"/>
    </i>
    <i r="3">
      <x v="16"/>
      <x v="28"/>
    </i>
    <i r="2">
      <x v="32"/>
      <x v="19"/>
      <x v="2"/>
    </i>
    <i r="3">
      <x v="20"/>
      <x v="27"/>
    </i>
    <i r="3">
      <x v="21"/>
      <x v="27"/>
    </i>
    <i r="2">
      <x v="33"/>
      <x v="22"/>
      <x v="16"/>
    </i>
    <i r="3">
      <x v="23"/>
      <x v="53"/>
    </i>
    <i r="3">
      <x v="24"/>
      <x v="57"/>
    </i>
    <i r="2">
      <x v="34"/>
      <x v="25"/>
      <x v="56"/>
    </i>
    <i r="3">
      <x v="26"/>
      <x v="51"/>
    </i>
    <i r="3">
      <x v="27"/>
      <x v="52"/>
    </i>
    <i r="2">
      <x v="35"/>
      <x v="28"/>
      <x v="57"/>
    </i>
    <i r="2">
      <x v="36"/>
      <x v="29"/>
      <x v="53"/>
    </i>
    <i r="3">
      <x v="30"/>
      <x v="15"/>
    </i>
    <i r="3">
      <x v="31"/>
      <x v="28"/>
    </i>
    <i r="3">
      <x v="32"/>
      <x v="31"/>
    </i>
    <i r="3">
      <x v="33"/>
      <x v="16"/>
    </i>
    <i r="3">
      <x v="34"/>
      <x/>
    </i>
    <i r="3">
      <x v="35"/>
      <x v="27"/>
    </i>
    <i r="3">
      <x v="36"/>
      <x v="27"/>
    </i>
    <i r="3">
      <x v="37"/>
      <x v="37"/>
    </i>
    <i r="3">
      <x v="38"/>
      <x v="33"/>
    </i>
    <i r="3">
      <x v="39"/>
      <x v="33"/>
    </i>
    <i r="3">
      <x v="40"/>
      <x v="58"/>
    </i>
    <i r="2">
      <x v="37"/>
      <x v="42"/>
      <x v="57"/>
    </i>
    <i r="3">
      <x v="43"/>
      <x v="9"/>
    </i>
    <i r="2">
      <x v="38"/>
      <x v="44"/>
      <x v="57"/>
    </i>
    <i r="3">
      <x v="45"/>
      <x v="54"/>
    </i>
    <i r="3">
      <x v="46"/>
      <x v="56"/>
    </i>
    <i r="3">
      <x v="47"/>
      <x v="24"/>
    </i>
    <i r="3">
      <x v="48"/>
      <x v="24"/>
    </i>
    <i t="default" r="1">
      <x v="1"/>
    </i>
    <i r="1">
      <x v="3"/>
      <x v="27"/>
      <x v="1"/>
      <x v="57"/>
    </i>
    <i t="default" r="1">
      <x v="3"/>
    </i>
    <i t="default">
      <x v="3"/>
    </i>
    <i>
      <x v="4"/>
      <x v="1"/>
      <x v="28"/>
      <x v="4"/>
      <x v="46"/>
    </i>
    <i r="2">
      <x v="30"/>
      <x v="17"/>
      <x v="34"/>
    </i>
    <i t="default" r="1">
      <x v="1"/>
    </i>
    <i t="default">
      <x v="4"/>
    </i>
    <i>
      <x v="5"/>
      <x v="1"/>
      <x v="30"/>
      <x v="9"/>
      <x v="47"/>
    </i>
    <i t="default" r="1">
      <x v="1"/>
    </i>
    <i t="default">
      <x v="5"/>
    </i>
    <i>
      <x v="6"/>
      <x v="1"/>
      <x v="31"/>
      <x v="18"/>
      <x v="42"/>
    </i>
    <i t="default" r="1">
      <x v="1"/>
    </i>
    <i t="default">
      <x v="6"/>
    </i>
    <i t="grand">
      <x/>
    </i>
  </rowItems>
  <colItems count="1">
    <i/>
  </colItems>
  <pageFields count="1">
    <pageField fld="5" hier="-1"/>
  </pageFields>
  <dataFields count="1">
    <dataField name="Suma de DEBE" fld="3" baseField="0" baseItem="0"/>
  </dataFields>
  <formats count="10">
    <format dxfId="81">
      <pivotArea type="all" dataOnly="0" outline="0" fieldPosition="0"/>
    </format>
    <format dxfId="80">
      <pivotArea outline="0" collapsedLevelsAreSubtotals="1" fieldPosition="0"/>
    </format>
    <format dxfId="79">
      <pivotArea field="6" type="button" dataOnly="0" labelOnly="1" outline="0" axis="axisRow" fieldPosition="0"/>
    </format>
    <format dxfId="78">
      <pivotArea field="7" type="button" dataOnly="0" labelOnly="1" outline="0" axis="axisRow" fieldPosition="1"/>
    </format>
    <format dxfId="77">
      <pivotArea field="1" type="button" dataOnly="0" labelOnly="1" outline="0" axis="axisRow" fieldPosition="2"/>
    </format>
    <format dxfId="76">
      <pivotArea field="0" type="button" dataOnly="0" labelOnly="1" outline="0" axis="axisRow" fieldPosition="3"/>
    </format>
    <format dxfId="75">
      <pivotArea field="2" type="button" dataOnly="0" labelOnly="1" outline="0" axis="axisRow" fieldPosition="4"/>
    </format>
    <format dxfId="74">
      <pivotArea dataOnly="0" labelOnly="1" outline="0" axis="axisValues" fieldPosition="0"/>
    </format>
    <format dxfId="73">
      <pivotArea dataOnly="0" labelOnly="1" grandRow="1" outline="0" fieldPosition="0"/>
    </format>
    <format dxfId="72">
      <pivotArea dataOnly="0" labelOnly="1" outline="0" axis="axisValues" fieldPosition="0"/>
    </format>
  </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Tabla dinámica5" cacheId="41" applyNumberFormats="0" applyBorderFormats="0" applyFontFormats="0" applyPatternFormats="0" applyAlignmentFormats="0" applyWidthHeightFormats="1" dataCaption="Valores" updatedVersion="7" minRefreshableVersion="3" showDrill="0" useAutoFormatting="1" itemPrintTitles="1" createdVersion="8" indent="0" compact="0" compactData="0" multipleFieldFilters="0">
  <location ref="A4:F8" firstHeaderRow="1" firstDataRow="1" firstDataCol="5" rowPageCount="1" colPageCount="1"/>
  <pivotFields count="11">
    <pivotField axis="axisRow" compact="0" outline="0" showAll="0" defaultSubtotal="0">
      <items count="2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224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</items>
    </pivotField>
    <pivotField axis="axisRow" compact="0" outline="0" showAll="0" defaultSubtotal="0">
      <items count="41">
        <item x="14"/>
        <item m="1" x="24"/>
        <item m="1" x="39"/>
        <item m="1" x="38"/>
        <item m="1" x="16"/>
        <item m="1" x="25"/>
        <item m="1" x="21"/>
        <item m="1" x="35"/>
        <item m="1" x="18"/>
        <item m="1" x="34"/>
        <item m="1" x="32"/>
        <item m="1" x="29"/>
        <item m="1" x="23"/>
        <item m="1" x="37"/>
        <item m="1" x="31"/>
        <item m="1" x="28"/>
        <item m="1" x="20"/>
        <item m="1" x="27"/>
        <item m="1" x="15"/>
        <item m="1" x="26"/>
        <item m="1" x="19"/>
        <item m="1" x="40"/>
        <item m="1" x="33"/>
        <item m="1" x="22"/>
        <item m="1" x="36"/>
        <item m="1" x="30"/>
        <item m="1" x="1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axis="axisRow" compact="0" outline="0" showAll="0">
      <items count="61">
        <item m="1" x="37"/>
        <item m="1" x="34"/>
        <item m="1" x="40"/>
        <item m="1" x="59"/>
        <item m="1" x="41"/>
        <item m="1" x="42"/>
        <item x="3"/>
        <item m="1" x="52"/>
        <item m="1" x="50"/>
        <item x="24"/>
        <item x="23"/>
        <item x="11"/>
        <item m="1" x="27"/>
        <item m="1" x="55"/>
        <item m="1" x="58"/>
        <item m="1" x="51"/>
        <item m="1" x="56"/>
        <item x="13"/>
        <item m="1" x="53"/>
        <item x="6"/>
        <item m="1" x="54"/>
        <item x="12"/>
        <item m="1" x="28"/>
        <item x="15"/>
        <item m="1" x="39"/>
        <item x="4"/>
        <item m="1" x="46"/>
        <item m="1" x="38"/>
        <item x="0"/>
        <item x="22"/>
        <item x="9"/>
        <item m="1" x="43"/>
        <item x="20"/>
        <item x="5"/>
        <item x="26"/>
        <item m="1" x="32"/>
        <item m="1" x="47"/>
        <item m="1" x="35"/>
        <item m="1" x="29"/>
        <item m="1" x="49"/>
        <item m="1" x="30"/>
        <item m="1" x="36"/>
        <item x="1"/>
        <item m="1" x="45"/>
        <item m="1" x="33"/>
        <item m="1" x="48"/>
        <item x="21"/>
        <item x="7"/>
        <item x="19"/>
        <item x="16"/>
        <item m="1" x="31"/>
        <item m="1" x="57"/>
        <item x="18"/>
        <item x="2"/>
        <item x="17"/>
        <item x="8"/>
        <item x="10"/>
        <item x="14"/>
        <item m="1" x="44"/>
        <item x="25"/>
        <item t="default"/>
      </items>
    </pivotField>
    <pivotField compact="0" outline="0" showAll="0"/>
    <pivotField dataField="1" compact="0" outline="0" showAll="0"/>
    <pivotField axis="axisPage" compact="0" outline="0" showAll="0">
      <items count="4">
        <item h="1" x="1"/>
        <item x="0"/>
        <item h="1" x="2"/>
        <item t="default"/>
      </items>
    </pivotField>
    <pivotField axis="axisRow" compact="0" outline="0" showAll="0">
      <items count="9">
        <item h="1" m="1" x="7"/>
        <item h="1" x="0"/>
        <item h="1" x="6"/>
        <item x="1"/>
        <item x="2"/>
        <item x="3"/>
        <item x="4"/>
        <item x="5"/>
        <item t="default"/>
      </items>
    </pivotField>
    <pivotField axis="axisRow" compact="0" outline="0" showAll="0">
      <items count="5">
        <item x="0"/>
        <item x="2"/>
        <item x="3"/>
        <item x="1"/>
        <item t="default"/>
      </items>
    </pivotField>
    <pivotField compact="0" outline="0" showAll="0"/>
    <pivotField compact="0" outline="0" showAll="0"/>
    <pivotField compact="0" outline="0" showAll="0"/>
  </pivotFields>
  <rowFields count="5">
    <field x="6"/>
    <field x="7"/>
    <field x="1"/>
    <field x="0"/>
    <field x="2"/>
  </rowFields>
  <rowItems count="4">
    <i>
      <x v="7"/>
      <x v="1"/>
      <x v="38"/>
      <x v="41"/>
      <x v="9"/>
    </i>
    <i t="default" r="1">
      <x v="1"/>
    </i>
    <i t="default">
      <x v="7"/>
    </i>
    <i t="grand">
      <x/>
    </i>
  </rowItems>
  <colItems count="1">
    <i/>
  </colItems>
  <pageFields count="1">
    <pageField fld="5" item="1" hier="-1"/>
  </pageFields>
  <dataFields count="1">
    <dataField name="Suma de HABER" fld="4" baseField="0" baseItem="0"/>
  </dataFields>
  <formats count="10">
    <format dxfId="71">
      <pivotArea type="all" dataOnly="0" outline="0" fieldPosition="0"/>
    </format>
    <format dxfId="70">
      <pivotArea outline="0" collapsedLevelsAreSubtotals="1" fieldPosition="0"/>
    </format>
    <format dxfId="69">
      <pivotArea field="6" type="button" dataOnly="0" labelOnly="1" outline="0" axis="axisRow" fieldPosition="0"/>
    </format>
    <format dxfId="68">
      <pivotArea field="7" type="button" dataOnly="0" labelOnly="1" outline="0" axis="axisRow" fieldPosition="1"/>
    </format>
    <format dxfId="67">
      <pivotArea field="1" type="button" dataOnly="0" labelOnly="1" outline="0" axis="axisRow" fieldPosition="2"/>
    </format>
    <format dxfId="66">
      <pivotArea field="0" type="button" dataOnly="0" labelOnly="1" outline="0" axis="axisRow" fieldPosition="3"/>
    </format>
    <format dxfId="65">
      <pivotArea field="2" type="button" dataOnly="0" labelOnly="1" outline="0" axis="axisRow" fieldPosition="4"/>
    </format>
    <format dxfId="64">
      <pivotArea dataOnly="0" labelOnly="1" outline="0" axis="axisValues" fieldPosition="0"/>
    </format>
    <format dxfId="63">
      <pivotArea dataOnly="0" labelOnly="1" grandRow="1" outline="0" fieldPosition="0"/>
    </format>
    <format dxfId="62">
      <pivotArea dataOnly="0" labelOnly="1" outline="0" axis="axisValues" fieldPosition="0"/>
    </format>
  </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25"/>
  <sheetViews>
    <sheetView topLeftCell="A28" zoomScaleNormal="100" workbookViewId="0">
      <selection activeCell="H51" sqref="H51"/>
    </sheetView>
  </sheetViews>
  <sheetFormatPr baseColWidth="10" defaultColWidth="11.42578125" defaultRowHeight="15" x14ac:dyDescent="0.25"/>
  <cols>
    <col min="1" max="1" width="5.42578125" customWidth="1"/>
    <col min="3" max="3" width="29.85546875" customWidth="1"/>
    <col min="6" max="6" width="4.42578125" customWidth="1"/>
    <col min="7" max="7" width="21" customWidth="1"/>
    <col min="8" max="8" width="13.8554687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>
        <v>0</v>
      </c>
      <c r="B2" s="10">
        <v>46023</v>
      </c>
      <c r="C2" s="3" t="s">
        <v>17</v>
      </c>
      <c r="D2" s="8"/>
      <c r="E2" s="5">
        <v>50608.14</v>
      </c>
      <c r="F2" s="6" t="s">
        <v>18</v>
      </c>
      <c r="G2" s="3" t="s">
        <v>19</v>
      </c>
      <c r="H2" s="6" t="s">
        <v>19</v>
      </c>
      <c r="I2" s="4"/>
      <c r="J2" s="6" t="s">
        <v>19</v>
      </c>
      <c r="K2" s="6" t="s">
        <v>19</v>
      </c>
      <c r="L2" s="6" t="s">
        <v>19</v>
      </c>
      <c r="M2" s="6" t="s">
        <v>19</v>
      </c>
      <c r="N2" s="6" t="s">
        <v>19</v>
      </c>
      <c r="O2" s="6" t="s">
        <v>19</v>
      </c>
      <c r="P2" s="6" t="s">
        <v>19</v>
      </c>
      <c r="Q2" s="6" t="s">
        <v>19</v>
      </c>
    </row>
    <row r="3" spans="1:17" x14ac:dyDescent="0.25">
      <c r="A3" s="2">
        <v>1</v>
      </c>
      <c r="B3" s="10">
        <v>46037</v>
      </c>
      <c r="C3" s="3" t="s">
        <v>27</v>
      </c>
      <c r="D3" s="5">
        <v>17.600000000000001</v>
      </c>
      <c r="E3" s="5"/>
      <c r="F3" s="6" t="s">
        <v>28</v>
      </c>
      <c r="G3" s="3" t="s">
        <v>29</v>
      </c>
      <c r="H3" s="6">
        <v>2025</v>
      </c>
      <c r="I3" s="5"/>
      <c r="J3" s="6" t="s">
        <v>19</v>
      </c>
      <c r="K3" s="6" t="s">
        <v>19</v>
      </c>
      <c r="L3" s="6" t="s">
        <v>19</v>
      </c>
      <c r="M3" s="6" t="s">
        <v>19</v>
      </c>
      <c r="N3" s="6" t="s">
        <v>19</v>
      </c>
      <c r="O3" s="6" t="s">
        <v>19</v>
      </c>
      <c r="P3" s="6" t="s">
        <v>19</v>
      </c>
      <c r="Q3" s="6" t="s">
        <v>19</v>
      </c>
    </row>
    <row r="4" spans="1:17" x14ac:dyDescent="0.25">
      <c r="A4" s="2">
        <v>2</v>
      </c>
      <c r="B4" s="10">
        <v>46051</v>
      </c>
      <c r="C4" s="3" t="s">
        <v>33</v>
      </c>
      <c r="D4" s="5">
        <v>194.04</v>
      </c>
      <c r="E4" s="8"/>
      <c r="F4" s="6" t="s">
        <v>28</v>
      </c>
      <c r="G4" s="3" t="s">
        <v>29</v>
      </c>
      <c r="H4" s="6" t="s">
        <v>30</v>
      </c>
      <c r="I4" s="4"/>
      <c r="J4" s="35"/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x14ac:dyDescent="0.25">
      <c r="A5" s="2">
        <v>3</v>
      </c>
      <c r="B5" s="10">
        <v>46051</v>
      </c>
      <c r="C5" s="3" t="s">
        <v>34</v>
      </c>
      <c r="D5" s="5">
        <v>342.83</v>
      </c>
      <c r="E5" s="8"/>
      <c r="F5" s="6" t="s">
        <v>28</v>
      </c>
      <c r="G5" s="3" t="s">
        <v>29</v>
      </c>
      <c r="H5" s="6" t="s">
        <v>30</v>
      </c>
      <c r="I5" s="4"/>
      <c r="J5" s="6" t="s">
        <v>19</v>
      </c>
      <c r="K5" s="6" t="s">
        <v>19</v>
      </c>
      <c r="L5" s="6" t="s">
        <v>19</v>
      </c>
      <c r="M5" s="6" t="s">
        <v>19</v>
      </c>
      <c r="N5" s="6" t="s">
        <v>19</v>
      </c>
      <c r="O5" s="6" t="s">
        <v>19</v>
      </c>
      <c r="P5" s="6" t="s">
        <v>19</v>
      </c>
      <c r="Q5" s="6" t="s">
        <v>19</v>
      </c>
    </row>
    <row r="6" spans="1:17" x14ac:dyDescent="0.25">
      <c r="A6" s="2">
        <v>4</v>
      </c>
      <c r="B6" s="10">
        <v>46051</v>
      </c>
      <c r="C6" s="3" t="s">
        <v>35</v>
      </c>
      <c r="D6" s="5">
        <v>211.42</v>
      </c>
      <c r="E6" s="8"/>
      <c r="F6" s="6" t="s">
        <v>28</v>
      </c>
      <c r="G6" s="3" t="s">
        <v>36</v>
      </c>
      <c r="H6" s="6" t="s">
        <v>30</v>
      </c>
      <c r="I6" s="4"/>
      <c r="J6" s="6" t="s">
        <v>19</v>
      </c>
      <c r="K6" s="6" t="s">
        <v>19</v>
      </c>
      <c r="L6" s="6" t="s">
        <v>19</v>
      </c>
      <c r="M6" s="6" t="s">
        <v>19</v>
      </c>
      <c r="N6" s="6" t="s">
        <v>19</v>
      </c>
      <c r="O6" s="6" t="s">
        <v>19</v>
      </c>
      <c r="P6" s="6" t="s">
        <v>19</v>
      </c>
      <c r="Q6" s="6" t="s">
        <v>19</v>
      </c>
    </row>
    <row r="7" spans="1:17" x14ac:dyDescent="0.25">
      <c r="A7" s="2">
        <v>5</v>
      </c>
      <c r="B7" s="10">
        <v>46055</v>
      </c>
      <c r="C7" s="3" t="s">
        <v>27</v>
      </c>
      <c r="D7" s="5">
        <v>64.77</v>
      </c>
      <c r="E7" s="8"/>
      <c r="F7" s="6" t="s">
        <v>28</v>
      </c>
      <c r="G7" s="3" t="s">
        <v>29</v>
      </c>
      <c r="H7" s="6" t="s">
        <v>30</v>
      </c>
      <c r="I7" s="4"/>
      <c r="J7" s="6" t="s">
        <v>19</v>
      </c>
      <c r="K7" s="6" t="s">
        <v>19</v>
      </c>
      <c r="L7" s="6" t="s">
        <v>19</v>
      </c>
      <c r="M7" s="6" t="s">
        <v>19</v>
      </c>
      <c r="N7" s="6" t="s">
        <v>19</v>
      </c>
      <c r="O7" s="6" t="s">
        <v>19</v>
      </c>
      <c r="P7" s="6" t="s">
        <v>19</v>
      </c>
      <c r="Q7" s="6" t="s">
        <v>19</v>
      </c>
    </row>
    <row r="8" spans="1:17" x14ac:dyDescent="0.25">
      <c r="A8" s="2">
        <v>6</v>
      </c>
      <c r="B8" s="10">
        <v>46055</v>
      </c>
      <c r="C8" s="3" t="s">
        <v>37</v>
      </c>
      <c r="D8" s="5">
        <v>780.07</v>
      </c>
      <c r="E8" s="8"/>
      <c r="F8" s="6" t="s">
        <v>28</v>
      </c>
      <c r="G8" s="3" t="s">
        <v>29</v>
      </c>
      <c r="H8" s="6" t="s">
        <v>30</v>
      </c>
      <c r="I8" s="4"/>
      <c r="J8" s="6" t="s">
        <v>19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  <row r="9" spans="1:17" x14ac:dyDescent="0.25">
      <c r="A9" s="2">
        <v>7</v>
      </c>
      <c r="B9" s="10">
        <v>46055</v>
      </c>
      <c r="C9" s="3" t="s">
        <v>38</v>
      </c>
      <c r="D9" s="5">
        <v>191.24</v>
      </c>
      <c r="E9" s="8"/>
      <c r="F9" s="6" t="s">
        <v>28</v>
      </c>
      <c r="G9" s="3" t="s">
        <v>29</v>
      </c>
      <c r="H9" s="6" t="s">
        <v>30</v>
      </c>
      <c r="I9" s="4"/>
      <c r="J9" s="6" t="s">
        <v>19</v>
      </c>
      <c r="K9" s="6" t="s">
        <v>19</v>
      </c>
      <c r="L9" s="6" t="s">
        <v>19</v>
      </c>
      <c r="M9" s="6" t="s">
        <v>19</v>
      </c>
      <c r="N9" s="6" t="s">
        <v>19</v>
      </c>
      <c r="O9" s="6" t="s">
        <v>19</v>
      </c>
      <c r="P9" s="6" t="s">
        <v>19</v>
      </c>
      <c r="Q9" s="6" t="s">
        <v>19</v>
      </c>
    </row>
    <row r="10" spans="1:17" x14ac:dyDescent="0.25">
      <c r="A10" s="2">
        <v>8</v>
      </c>
      <c r="B10" s="10">
        <v>46062</v>
      </c>
      <c r="C10" s="3" t="s">
        <v>39</v>
      </c>
      <c r="D10" s="5">
        <v>197.74</v>
      </c>
      <c r="E10" s="8"/>
      <c r="F10" s="6" t="s">
        <v>28</v>
      </c>
      <c r="G10" s="3" t="s">
        <v>29</v>
      </c>
      <c r="H10" s="6" t="s">
        <v>30</v>
      </c>
      <c r="I10" s="4"/>
      <c r="J10" s="6" t="s">
        <v>19</v>
      </c>
      <c r="K10" s="6" t="s">
        <v>19</v>
      </c>
      <c r="L10" s="6" t="s">
        <v>19</v>
      </c>
      <c r="M10" s="6" t="s">
        <v>19</v>
      </c>
      <c r="N10" s="6" t="s">
        <v>19</v>
      </c>
      <c r="O10" s="6" t="s">
        <v>19</v>
      </c>
      <c r="P10" s="6" t="s">
        <v>19</v>
      </c>
      <c r="Q10" s="6" t="s">
        <v>19</v>
      </c>
    </row>
    <row r="11" spans="1:17" x14ac:dyDescent="0.25">
      <c r="A11" s="2">
        <v>9</v>
      </c>
      <c r="B11" s="10">
        <v>46062</v>
      </c>
      <c r="C11" s="3" t="s">
        <v>40</v>
      </c>
      <c r="D11" s="5">
        <v>383</v>
      </c>
      <c r="E11" s="8"/>
      <c r="F11" s="6" t="s">
        <v>28</v>
      </c>
      <c r="G11" s="3" t="s">
        <v>41</v>
      </c>
      <c r="H11" s="6" t="s">
        <v>30</v>
      </c>
      <c r="I11" s="4"/>
      <c r="J11" s="6" t="s">
        <v>19</v>
      </c>
      <c r="K11" s="6" t="s">
        <v>19</v>
      </c>
      <c r="L11" s="6" t="s">
        <v>19</v>
      </c>
      <c r="M11" s="6" t="s">
        <v>19</v>
      </c>
      <c r="N11" s="6" t="s">
        <v>19</v>
      </c>
      <c r="O11" s="6" t="s">
        <v>19</v>
      </c>
      <c r="P11" s="6" t="s">
        <v>19</v>
      </c>
      <c r="Q11" s="6" t="s">
        <v>19</v>
      </c>
    </row>
    <row r="12" spans="1:17" x14ac:dyDescent="0.25">
      <c r="A12" s="2">
        <v>10</v>
      </c>
      <c r="B12" s="10">
        <v>46062</v>
      </c>
      <c r="C12" s="3" t="s">
        <v>42</v>
      </c>
      <c r="D12" s="5">
        <v>229.73</v>
      </c>
      <c r="E12" s="8"/>
      <c r="F12" s="6" t="s">
        <v>28</v>
      </c>
      <c r="G12" s="3" t="s">
        <v>29</v>
      </c>
      <c r="H12" s="6" t="s">
        <v>30</v>
      </c>
      <c r="I12" s="4"/>
      <c r="J12" s="6" t="s">
        <v>19</v>
      </c>
      <c r="K12" s="6" t="s">
        <v>19</v>
      </c>
      <c r="L12" s="6" t="s">
        <v>19</v>
      </c>
      <c r="M12" s="6" t="s">
        <v>19</v>
      </c>
      <c r="N12" s="6" t="s">
        <v>19</v>
      </c>
      <c r="O12" s="6" t="s">
        <v>19</v>
      </c>
      <c r="P12" s="6" t="s">
        <v>19</v>
      </c>
      <c r="Q12" s="6" t="s">
        <v>19</v>
      </c>
    </row>
    <row r="13" spans="1:17" x14ac:dyDescent="0.25">
      <c r="A13" s="2">
        <v>11</v>
      </c>
      <c r="B13" s="10">
        <v>46062</v>
      </c>
      <c r="C13" s="3" t="s">
        <v>43</v>
      </c>
      <c r="D13" s="5">
        <v>462.59</v>
      </c>
      <c r="E13" s="8"/>
      <c r="F13" s="6" t="s">
        <v>28</v>
      </c>
      <c r="G13" s="3" t="s">
        <v>29</v>
      </c>
      <c r="H13" s="6" t="s">
        <v>30</v>
      </c>
      <c r="I13" s="4"/>
      <c r="J13" s="6" t="s">
        <v>19</v>
      </c>
      <c r="K13" s="6" t="s">
        <v>19</v>
      </c>
      <c r="L13" s="6" t="s">
        <v>19</v>
      </c>
      <c r="M13" s="6" t="s">
        <v>19</v>
      </c>
      <c r="N13" s="6" t="s">
        <v>19</v>
      </c>
      <c r="O13" s="6" t="s">
        <v>19</v>
      </c>
      <c r="P13" s="6" t="s">
        <v>19</v>
      </c>
      <c r="Q13" s="6" t="s">
        <v>19</v>
      </c>
    </row>
    <row r="14" spans="1:17" x14ac:dyDescent="0.25">
      <c r="A14" s="2">
        <v>12</v>
      </c>
      <c r="B14" s="10">
        <v>46062</v>
      </c>
      <c r="C14" s="3" t="s">
        <v>27</v>
      </c>
      <c r="D14" s="5">
        <v>35.19</v>
      </c>
      <c r="E14" s="8"/>
      <c r="F14" s="6" t="s">
        <v>28</v>
      </c>
      <c r="G14" s="3" t="s">
        <v>29</v>
      </c>
      <c r="H14" s="6" t="s">
        <v>30</v>
      </c>
      <c r="I14" s="4"/>
      <c r="J14" s="6" t="s">
        <v>19</v>
      </c>
      <c r="K14" s="6" t="s">
        <v>19</v>
      </c>
      <c r="L14" s="6" t="s">
        <v>19</v>
      </c>
      <c r="M14" s="6" t="s">
        <v>19</v>
      </c>
      <c r="N14" s="6" t="s">
        <v>19</v>
      </c>
      <c r="O14" s="6" t="s">
        <v>19</v>
      </c>
      <c r="P14" s="6" t="s">
        <v>19</v>
      </c>
      <c r="Q14" s="6" t="s">
        <v>19</v>
      </c>
    </row>
    <row r="15" spans="1:17" x14ac:dyDescent="0.25">
      <c r="A15" s="2">
        <v>13</v>
      </c>
      <c r="B15" s="10">
        <v>46062</v>
      </c>
      <c r="C15" s="3" t="s">
        <v>27</v>
      </c>
      <c r="D15" s="5">
        <v>52.79</v>
      </c>
      <c r="E15" s="8"/>
      <c r="F15" s="6" t="s">
        <v>28</v>
      </c>
      <c r="G15" s="3" t="s">
        <v>29</v>
      </c>
      <c r="H15" s="6" t="s">
        <v>30</v>
      </c>
      <c r="I15" s="4"/>
      <c r="J15" s="6" t="s">
        <v>19</v>
      </c>
      <c r="K15" s="6" t="s">
        <v>19</v>
      </c>
      <c r="L15" s="6" t="s">
        <v>19</v>
      </c>
      <c r="M15" s="6" t="s">
        <v>19</v>
      </c>
      <c r="N15" s="6" t="s">
        <v>19</v>
      </c>
      <c r="O15" s="6" t="s">
        <v>19</v>
      </c>
      <c r="P15" s="6" t="s">
        <v>19</v>
      </c>
      <c r="Q15" s="6" t="s">
        <v>19</v>
      </c>
    </row>
    <row r="16" spans="1:17" x14ac:dyDescent="0.25">
      <c r="A16" s="2">
        <v>14</v>
      </c>
      <c r="B16" s="10">
        <v>46062</v>
      </c>
      <c r="C16" s="3" t="s">
        <v>44</v>
      </c>
      <c r="D16" s="5">
        <v>113.27</v>
      </c>
      <c r="E16" s="8"/>
      <c r="F16" s="6" t="s">
        <v>28</v>
      </c>
      <c r="G16" s="3" t="s">
        <v>29</v>
      </c>
      <c r="H16" s="6" t="s">
        <v>30</v>
      </c>
      <c r="I16" s="4"/>
      <c r="J16" s="6" t="s">
        <v>19</v>
      </c>
      <c r="K16" s="6" t="s">
        <v>19</v>
      </c>
      <c r="L16" s="6" t="s">
        <v>19</v>
      </c>
      <c r="M16" s="6" t="s">
        <v>19</v>
      </c>
      <c r="N16" s="6" t="s">
        <v>19</v>
      </c>
      <c r="O16" s="6" t="s">
        <v>19</v>
      </c>
      <c r="P16" s="6" t="s">
        <v>19</v>
      </c>
      <c r="Q16" s="6" t="s">
        <v>19</v>
      </c>
    </row>
    <row r="17" spans="1:17" x14ac:dyDescent="0.25">
      <c r="A17" s="2">
        <v>15</v>
      </c>
      <c r="B17" s="10">
        <v>46062</v>
      </c>
      <c r="C17" s="3" t="s">
        <v>45</v>
      </c>
      <c r="D17" s="5">
        <v>106.6</v>
      </c>
      <c r="E17" s="8"/>
      <c r="F17" s="6" t="s">
        <v>28</v>
      </c>
      <c r="G17" s="3" t="s">
        <v>29</v>
      </c>
      <c r="H17" s="6" t="s">
        <v>30</v>
      </c>
      <c r="I17" s="4"/>
      <c r="J17" s="6" t="s">
        <v>19</v>
      </c>
      <c r="K17" s="6" t="s">
        <v>19</v>
      </c>
      <c r="L17" s="6" t="s">
        <v>19</v>
      </c>
      <c r="M17" s="6" t="s">
        <v>19</v>
      </c>
      <c r="N17" s="6" t="s">
        <v>19</v>
      </c>
      <c r="O17" s="6" t="s">
        <v>19</v>
      </c>
      <c r="P17" s="6" t="s">
        <v>19</v>
      </c>
      <c r="Q17" s="6" t="s">
        <v>19</v>
      </c>
    </row>
    <row r="18" spans="1:17" x14ac:dyDescent="0.25">
      <c r="A18" s="2">
        <v>16</v>
      </c>
      <c r="B18" s="10">
        <v>46062</v>
      </c>
      <c r="C18" s="3" t="s">
        <v>46</v>
      </c>
      <c r="D18" s="5">
        <v>300.77</v>
      </c>
      <c r="E18" s="8"/>
      <c r="F18" s="6" t="s">
        <v>28</v>
      </c>
      <c r="G18" s="3" t="s">
        <v>29</v>
      </c>
      <c r="H18" s="6" t="s">
        <v>30</v>
      </c>
      <c r="I18" s="4"/>
      <c r="J18" s="6" t="s">
        <v>19</v>
      </c>
      <c r="K18" s="6" t="s">
        <v>19</v>
      </c>
      <c r="L18" s="6" t="s">
        <v>19</v>
      </c>
      <c r="M18" s="6" t="s">
        <v>19</v>
      </c>
      <c r="N18" s="6" t="s">
        <v>19</v>
      </c>
      <c r="O18" s="6" t="s">
        <v>19</v>
      </c>
      <c r="P18" s="6" t="s">
        <v>19</v>
      </c>
      <c r="Q18" s="6" t="s">
        <v>19</v>
      </c>
    </row>
    <row r="19" spans="1:17" x14ac:dyDescent="0.25">
      <c r="A19" s="2">
        <v>17</v>
      </c>
      <c r="B19" s="10">
        <v>46062</v>
      </c>
      <c r="C19" s="3" t="s">
        <v>47</v>
      </c>
      <c r="D19" s="5">
        <v>253.41</v>
      </c>
      <c r="E19" s="8"/>
      <c r="F19" s="6" t="s">
        <v>28</v>
      </c>
      <c r="G19" s="3" t="s">
        <v>36</v>
      </c>
      <c r="H19" s="6" t="s">
        <v>30</v>
      </c>
      <c r="I19" s="4"/>
      <c r="J19" s="6" t="s">
        <v>19</v>
      </c>
      <c r="K19" s="6" t="s">
        <v>19</v>
      </c>
      <c r="L19" s="6" t="s">
        <v>19</v>
      </c>
      <c r="M19" s="6" t="s">
        <v>19</v>
      </c>
      <c r="N19" s="6" t="s">
        <v>19</v>
      </c>
      <c r="O19" s="6" t="s">
        <v>19</v>
      </c>
      <c r="P19" s="6" t="s">
        <v>19</v>
      </c>
      <c r="Q19" s="6" t="s">
        <v>19</v>
      </c>
    </row>
    <row r="20" spans="1:17" x14ac:dyDescent="0.25">
      <c r="A20" s="2">
        <v>18</v>
      </c>
      <c r="B20" s="10">
        <v>46063</v>
      </c>
      <c r="C20" s="3" t="s">
        <v>48</v>
      </c>
      <c r="D20" s="5">
        <v>75</v>
      </c>
      <c r="E20" s="8"/>
      <c r="F20" s="6" t="s">
        <v>28</v>
      </c>
      <c r="G20" s="3" t="s">
        <v>49</v>
      </c>
      <c r="H20" s="6" t="s">
        <v>30</v>
      </c>
      <c r="I20" s="4"/>
      <c r="J20" s="6" t="s">
        <v>19</v>
      </c>
      <c r="K20" s="6" t="s">
        <v>19</v>
      </c>
      <c r="L20" s="6" t="s">
        <v>19</v>
      </c>
      <c r="M20" s="6" t="s">
        <v>19</v>
      </c>
      <c r="N20" s="6" t="s">
        <v>19</v>
      </c>
      <c r="O20" s="6" t="s">
        <v>19</v>
      </c>
      <c r="P20" s="6" t="s">
        <v>19</v>
      </c>
      <c r="Q20" s="6" t="s">
        <v>19</v>
      </c>
    </row>
    <row r="21" spans="1:17" x14ac:dyDescent="0.25">
      <c r="A21" s="2">
        <v>19</v>
      </c>
      <c r="B21" s="10">
        <v>46066</v>
      </c>
      <c r="C21" s="3" t="s">
        <v>50</v>
      </c>
      <c r="D21" s="5">
        <v>87.9</v>
      </c>
      <c r="E21" s="8"/>
      <c r="F21" s="6" t="s">
        <v>28</v>
      </c>
      <c r="G21" s="3" t="s">
        <v>29</v>
      </c>
      <c r="H21" s="6" t="s">
        <v>30</v>
      </c>
      <c r="I21" s="4"/>
      <c r="J21" s="6" t="s">
        <v>19</v>
      </c>
      <c r="K21" s="6" t="s">
        <v>19</v>
      </c>
      <c r="L21" s="6" t="s">
        <v>19</v>
      </c>
      <c r="M21" s="6" t="s">
        <v>19</v>
      </c>
      <c r="N21" s="6" t="s">
        <v>19</v>
      </c>
      <c r="O21" s="6" t="s">
        <v>19</v>
      </c>
      <c r="P21" s="6" t="s">
        <v>19</v>
      </c>
      <c r="Q21" s="6" t="s">
        <v>19</v>
      </c>
    </row>
    <row r="22" spans="1:17" x14ac:dyDescent="0.25">
      <c r="A22" s="2">
        <v>20</v>
      </c>
      <c r="B22" s="10">
        <v>46066</v>
      </c>
      <c r="C22" s="3" t="s">
        <v>51</v>
      </c>
      <c r="D22" s="5">
        <v>324.02999999999997</v>
      </c>
      <c r="E22" s="8"/>
      <c r="F22" s="6" t="s">
        <v>28</v>
      </c>
      <c r="G22" s="3" t="s">
        <v>29</v>
      </c>
      <c r="H22" s="6" t="s">
        <v>30</v>
      </c>
      <c r="I22" s="4"/>
      <c r="J22" s="6" t="s">
        <v>19</v>
      </c>
      <c r="K22" s="6" t="s">
        <v>19</v>
      </c>
      <c r="L22" s="6" t="s">
        <v>19</v>
      </c>
      <c r="M22" s="6" t="s">
        <v>19</v>
      </c>
      <c r="N22" s="6" t="s">
        <v>19</v>
      </c>
      <c r="O22" s="6" t="s">
        <v>19</v>
      </c>
      <c r="P22" s="6" t="s">
        <v>19</v>
      </c>
      <c r="Q22" s="6" t="s">
        <v>19</v>
      </c>
    </row>
    <row r="23" spans="1:17" x14ac:dyDescent="0.25">
      <c r="A23" s="2">
        <v>21</v>
      </c>
      <c r="B23" s="10">
        <v>46066</v>
      </c>
      <c r="C23" s="3" t="s">
        <v>51</v>
      </c>
      <c r="D23" s="5">
        <v>223.3</v>
      </c>
      <c r="E23" s="8"/>
      <c r="F23" s="6" t="s">
        <v>28</v>
      </c>
      <c r="G23" s="3" t="s">
        <v>29</v>
      </c>
      <c r="H23" s="6" t="s">
        <v>30</v>
      </c>
      <c r="I23" s="4"/>
      <c r="J23" s="6" t="s">
        <v>19</v>
      </c>
      <c r="K23" s="6" t="s">
        <v>19</v>
      </c>
      <c r="L23" s="6" t="s">
        <v>19</v>
      </c>
      <c r="M23" s="6" t="s">
        <v>19</v>
      </c>
      <c r="N23" s="6" t="s">
        <v>19</v>
      </c>
      <c r="O23" s="6" t="s">
        <v>19</v>
      </c>
      <c r="P23" s="6" t="s">
        <v>19</v>
      </c>
      <c r="Q23" s="6" t="s">
        <v>19</v>
      </c>
    </row>
    <row r="24" spans="1:17" x14ac:dyDescent="0.25">
      <c r="A24" s="2">
        <v>22</v>
      </c>
      <c r="B24" s="10">
        <v>46072</v>
      </c>
      <c r="C24" s="3" t="s">
        <v>52</v>
      </c>
      <c r="D24" s="5">
        <v>242.49</v>
      </c>
      <c r="E24" s="8"/>
      <c r="F24" s="6" t="s">
        <v>28</v>
      </c>
      <c r="G24" s="3" t="s">
        <v>29</v>
      </c>
      <c r="H24" s="6" t="s">
        <v>30</v>
      </c>
      <c r="I24" s="4"/>
      <c r="J24" s="6" t="s">
        <v>19</v>
      </c>
      <c r="K24" s="6" t="s">
        <v>19</v>
      </c>
      <c r="L24" s="6" t="s">
        <v>19</v>
      </c>
      <c r="M24" s="6" t="s">
        <v>19</v>
      </c>
      <c r="N24" s="6" t="s">
        <v>19</v>
      </c>
      <c r="O24" s="6" t="s">
        <v>19</v>
      </c>
      <c r="P24" s="6" t="s">
        <v>19</v>
      </c>
      <c r="Q24" s="6" t="s">
        <v>19</v>
      </c>
    </row>
    <row r="25" spans="1:17" x14ac:dyDescent="0.25">
      <c r="A25" s="2">
        <v>23</v>
      </c>
      <c r="B25" s="10">
        <v>46072</v>
      </c>
      <c r="C25" s="3" t="s">
        <v>53</v>
      </c>
      <c r="D25" s="8">
        <v>221.97</v>
      </c>
      <c r="E25" s="5"/>
      <c r="F25" s="6" t="s">
        <v>28</v>
      </c>
      <c r="G25" s="3" t="s">
        <v>29</v>
      </c>
      <c r="H25" s="6" t="s">
        <v>30</v>
      </c>
      <c r="I25" s="4"/>
      <c r="J25" s="6" t="s">
        <v>19</v>
      </c>
      <c r="K25" s="6" t="s">
        <v>19</v>
      </c>
      <c r="L25" s="6" t="s">
        <v>19</v>
      </c>
      <c r="M25" s="6" t="s">
        <v>19</v>
      </c>
      <c r="N25" s="6" t="s">
        <v>19</v>
      </c>
      <c r="O25" s="6" t="s">
        <v>19</v>
      </c>
      <c r="P25" s="6" t="s">
        <v>19</v>
      </c>
      <c r="Q25" s="6" t="s">
        <v>19</v>
      </c>
    </row>
    <row r="26" spans="1:17" x14ac:dyDescent="0.25">
      <c r="A26" s="2">
        <v>24</v>
      </c>
      <c r="B26" s="9">
        <v>46072</v>
      </c>
      <c r="C26" s="3" t="s">
        <v>27</v>
      </c>
      <c r="D26" s="5">
        <v>116.19</v>
      </c>
      <c r="E26" s="8"/>
      <c r="F26" s="6" t="s">
        <v>28</v>
      </c>
      <c r="G26" s="3" t="s">
        <v>29</v>
      </c>
      <c r="H26" s="6" t="s">
        <v>30</v>
      </c>
      <c r="I26" s="4"/>
      <c r="J26" s="6" t="s">
        <v>19</v>
      </c>
      <c r="K26" s="6" t="s">
        <v>19</v>
      </c>
      <c r="L26" s="6" t="s">
        <v>19</v>
      </c>
      <c r="M26" s="6" t="s">
        <v>19</v>
      </c>
      <c r="N26" s="6" t="s">
        <v>19</v>
      </c>
      <c r="O26" s="6" t="s">
        <v>19</v>
      </c>
      <c r="P26" s="6" t="s">
        <v>19</v>
      </c>
      <c r="Q26" s="6" t="s">
        <v>19</v>
      </c>
    </row>
    <row r="27" spans="1:17" x14ac:dyDescent="0.25">
      <c r="A27" s="2">
        <v>25</v>
      </c>
      <c r="B27" s="10">
        <v>46080</v>
      </c>
      <c r="C27" s="3" t="s">
        <v>55</v>
      </c>
      <c r="D27" s="5">
        <v>227.21</v>
      </c>
      <c r="E27" s="8"/>
      <c r="F27" s="6" t="s">
        <v>28</v>
      </c>
      <c r="G27" s="3" t="s">
        <v>29</v>
      </c>
      <c r="H27" s="6" t="s">
        <v>30</v>
      </c>
      <c r="I27" s="4"/>
      <c r="J27" s="6" t="s">
        <v>19</v>
      </c>
      <c r="K27" s="6" t="s">
        <v>19</v>
      </c>
      <c r="L27" s="6" t="s">
        <v>19</v>
      </c>
      <c r="M27" s="6" t="s">
        <v>19</v>
      </c>
      <c r="N27" s="6" t="s">
        <v>19</v>
      </c>
      <c r="O27" s="6" t="s">
        <v>19</v>
      </c>
      <c r="P27" s="6" t="s">
        <v>19</v>
      </c>
      <c r="Q27" s="6" t="s">
        <v>19</v>
      </c>
    </row>
    <row r="28" spans="1:17" x14ac:dyDescent="0.25">
      <c r="A28" s="2">
        <v>26</v>
      </c>
      <c r="B28" s="10">
        <v>46080</v>
      </c>
      <c r="C28" s="3" t="s">
        <v>56</v>
      </c>
      <c r="D28" s="5">
        <v>234.32</v>
      </c>
      <c r="E28" s="8"/>
      <c r="F28" s="6" t="s">
        <v>28</v>
      </c>
      <c r="G28" s="3" t="s">
        <v>29</v>
      </c>
      <c r="H28" s="6" t="s">
        <v>30</v>
      </c>
      <c r="I28" s="4"/>
      <c r="J28" s="6" t="s">
        <v>19</v>
      </c>
      <c r="K28" s="6" t="s">
        <v>19</v>
      </c>
      <c r="L28" s="6" t="s">
        <v>19</v>
      </c>
      <c r="M28" s="6" t="s">
        <v>19</v>
      </c>
      <c r="N28" s="6" t="s">
        <v>19</v>
      </c>
      <c r="O28" s="6" t="s">
        <v>19</v>
      </c>
      <c r="P28" s="6" t="s">
        <v>19</v>
      </c>
      <c r="Q28" s="6" t="s">
        <v>19</v>
      </c>
    </row>
    <row r="29" spans="1:17" x14ac:dyDescent="0.25">
      <c r="A29" s="2">
        <v>27</v>
      </c>
      <c r="B29" s="10">
        <v>46080</v>
      </c>
      <c r="C29" s="3" t="s">
        <v>57</v>
      </c>
      <c r="D29" s="5">
        <v>106.7</v>
      </c>
      <c r="E29" s="8"/>
      <c r="F29" s="6" t="s">
        <v>28</v>
      </c>
      <c r="G29" s="3" t="s">
        <v>29</v>
      </c>
      <c r="H29" s="6" t="s">
        <v>30</v>
      </c>
      <c r="I29" s="4"/>
      <c r="J29" s="6" t="s">
        <v>19</v>
      </c>
      <c r="K29" s="6" t="s">
        <v>19</v>
      </c>
      <c r="L29" s="6" t="s">
        <v>19</v>
      </c>
      <c r="M29" s="6" t="s">
        <v>19</v>
      </c>
      <c r="N29" s="6" t="s">
        <v>19</v>
      </c>
      <c r="O29" s="6" t="s">
        <v>19</v>
      </c>
      <c r="P29" s="6" t="s">
        <v>19</v>
      </c>
      <c r="Q29" s="6" t="s">
        <v>19</v>
      </c>
    </row>
    <row r="30" spans="1:17" x14ac:dyDescent="0.25">
      <c r="A30" s="2">
        <v>28</v>
      </c>
      <c r="B30" s="10">
        <v>46084</v>
      </c>
      <c r="C30" s="3" t="s">
        <v>27</v>
      </c>
      <c r="D30" s="5">
        <v>47.67</v>
      </c>
      <c r="E30" s="8"/>
      <c r="F30" s="6" t="s">
        <v>28</v>
      </c>
      <c r="G30" s="3" t="s">
        <v>29</v>
      </c>
      <c r="H30" s="6" t="s">
        <v>30</v>
      </c>
      <c r="I30" s="4"/>
      <c r="J30" s="6" t="s">
        <v>19</v>
      </c>
      <c r="K30" s="6" t="s">
        <v>19</v>
      </c>
      <c r="L30" s="6" t="s">
        <v>19</v>
      </c>
      <c r="M30" s="6" t="s">
        <v>19</v>
      </c>
      <c r="N30" s="6" t="s">
        <v>19</v>
      </c>
      <c r="O30" s="6" t="s">
        <v>19</v>
      </c>
      <c r="P30" s="6" t="s">
        <v>19</v>
      </c>
      <c r="Q30" s="6" t="s">
        <v>19</v>
      </c>
    </row>
    <row r="31" spans="1:17" x14ac:dyDescent="0.25">
      <c r="A31" s="2">
        <v>29</v>
      </c>
      <c r="B31" s="10">
        <v>46090</v>
      </c>
      <c r="C31" s="3" t="s">
        <v>53</v>
      </c>
      <c r="D31" s="5">
        <v>45.72</v>
      </c>
      <c r="E31" s="8"/>
      <c r="F31" s="6" t="s">
        <v>28</v>
      </c>
      <c r="G31" s="3" t="s">
        <v>29</v>
      </c>
      <c r="H31" s="6" t="s">
        <v>30</v>
      </c>
      <c r="I31" s="4"/>
      <c r="J31" s="6" t="s">
        <v>19</v>
      </c>
      <c r="K31" s="6" t="s">
        <v>19</v>
      </c>
      <c r="L31" s="6" t="s">
        <v>19</v>
      </c>
      <c r="M31" s="6" t="s">
        <v>19</v>
      </c>
      <c r="N31" s="6" t="s">
        <v>19</v>
      </c>
      <c r="O31" s="6" t="s">
        <v>19</v>
      </c>
      <c r="P31" s="6" t="s">
        <v>19</v>
      </c>
      <c r="Q31" s="6" t="s">
        <v>19</v>
      </c>
    </row>
    <row r="32" spans="1:17" x14ac:dyDescent="0.25">
      <c r="A32" s="2">
        <v>30</v>
      </c>
      <c r="B32" s="10">
        <v>46090</v>
      </c>
      <c r="C32" s="3" t="s">
        <v>61</v>
      </c>
      <c r="D32" s="5">
        <v>163.33000000000001</v>
      </c>
      <c r="E32" s="8"/>
      <c r="F32" s="6" t="s">
        <v>28</v>
      </c>
      <c r="G32" s="3" t="s">
        <v>29</v>
      </c>
      <c r="H32" s="6" t="s">
        <v>30</v>
      </c>
      <c r="I32" s="4"/>
      <c r="J32" s="6" t="s">
        <v>19</v>
      </c>
      <c r="K32" s="6" t="s">
        <v>19</v>
      </c>
      <c r="L32" s="6" t="s">
        <v>19</v>
      </c>
      <c r="M32" s="6" t="s">
        <v>19</v>
      </c>
      <c r="N32" s="6" t="s">
        <v>19</v>
      </c>
      <c r="O32" s="6" t="s">
        <v>19</v>
      </c>
      <c r="P32" s="6" t="s">
        <v>19</v>
      </c>
      <c r="Q32" s="6" t="s">
        <v>19</v>
      </c>
    </row>
    <row r="33" spans="1:17" x14ac:dyDescent="0.25">
      <c r="A33" s="2">
        <v>31</v>
      </c>
      <c r="B33" s="10">
        <v>46090</v>
      </c>
      <c r="C33" s="3" t="s">
        <v>46</v>
      </c>
      <c r="D33" s="5">
        <v>623.91999999999996</v>
      </c>
      <c r="E33" s="8"/>
      <c r="F33" s="6" t="s">
        <v>28</v>
      </c>
      <c r="G33" s="3" t="s">
        <v>29</v>
      </c>
      <c r="H33" s="6" t="s">
        <v>30</v>
      </c>
      <c r="I33" s="4"/>
      <c r="J33" s="6" t="s">
        <v>19</v>
      </c>
      <c r="K33" s="6" t="s">
        <v>19</v>
      </c>
      <c r="L33" s="6" t="s">
        <v>19</v>
      </c>
      <c r="M33" s="6" t="s">
        <v>19</v>
      </c>
      <c r="N33" s="6" t="s">
        <v>19</v>
      </c>
      <c r="O33" s="6" t="s">
        <v>19</v>
      </c>
      <c r="P33" s="6" t="s">
        <v>19</v>
      </c>
      <c r="Q33" s="6" t="s">
        <v>19</v>
      </c>
    </row>
    <row r="34" spans="1:17" x14ac:dyDescent="0.25">
      <c r="A34" s="2">
        <v>32</v>
      </c>
      <c r="B34" s="10">
        <v>46090</v>
      </c>
      <c r="C34" s="3" t="s">
        <v>39</v>
      </c>
      <c r="D34" s="5">
        <v>221.67</v>
      </c>
      <c r="E34" s="8"/>
      <c r="F34" s="6" t="s">
        <v>28</v>
      </c>
      <c r="G34" s="3" t="s">
        <v>29</v>
      </c>
      <c r="H34" s="6" t="s">
        <v>30</v>
      </c>
      <c r="I34" s="4"/>
      <c r="J34" s="6" t="s">
        <v>19</v>
      </c>
      <c r="K34" s="6" t="s">
        <v>19</v>
      </c>
      <c r="L34" s="6" t="s">
        <v>19</v>
      </c>
      <c r="M34" s="6" t="s">
        <v>19</v>
      </c>
      <c r="N34" s="6" t="s">
        <v>19</v>
      </c>
      <c r="O34" s="6" t="s">
        <v>19</v>
      </c>
      <c r="P34" s="6" t="s">
        <v>19</v>
      </c>
      <c r="Q34" s="6" t="s">
        <v>19</v>
      </c>
    </row>
    <row r="35" spans="1:17" x14ac:dyDescent="0.25">
      <c r="A35" s="2">
        <v>33</v>
      </c>
      <c r="B35" s="10">
        <v>46090</v>
      </c>
      <c r="C35" s="3" t="s">
        <v>52</v>
      </c>
      <c r="D35" s="5">
        <v>133.85</v>
      </c>
      <c r="E35" s="8"/>
      <c r="F35" s="6" t="s">
        <v>28</v>
      </c>
      <c r="G35" s="3" t="s">
        <v>29</v>
      </c>
      <c r="H35" s="6" t="s">
        <v>30</v>
      </c>
      <c r="I35" s="4"/>
      <c r="J35" s="6" t="s">
        <v>19</v>
      </c>
      <c r="K35" s="6" t="s">
        <v>19</v>
      </c>
      <c r="L35" s="6" t="s">
        <v>19</v>
      </c>
      <c r="M35" s="6" t="s">
        <v>19</v>
      </c>
      <c r="N35" s="6" t="s">
        <v>19</v>
      </c>
      <c r="O35" s="6" t="s">
        <v>19</v>
      </c>
      <c r="P35" s="6" t="s">
        <v>19</v>
      </c>
      <c r="Q35" s="6" t="s">
        <v>19</v>
      </c>
    </row>
    <row r="36" spans="1:17" x14ac:dyDescent="0.25">
      <c r="A36" s="2">
        <v>34</v>
      </c>
      <c r="B36" s="10">
        <v>46090</v>
      </c>
      <c r="C36" s="3" t="s">
        <v>43</v>
      </c>
      <c r="D36" s="5">
        <v>424.49</v>
      </c>
      <c r="E36" s="8"/>
      <c r="F36" s="6" t="s">
        <v>28</v>
      </c>
      <c r="G36" s="3" t="s">
        <v>29</v>
      </c>
      <c r="H36" s="6" t="s">
        <v>30</v>
      </c>
      <c r="I36" s="4"/>
      <c r="J36" s="6" t="s">
        <v>19</v>
      </c>
      <c r="K36" s="6" t="s">
        <v>19</v>
      </c>
      <c r="L36" s="6" t="s">
        <v>19</v>
      </c>
      <c r="M36" s="6" t="s">
        <v>19</v>
      </c>
      <c r="N36" s="6" t="s">
        <v>19</v>
      </c>
      <c r="O36" s="6" t="s">
        <v>19</v>
      </c>
      <c r="P36" s="6" t="s">
        <v>19</v>
      </c>
      <c r="Q36" s="6" t="s">
        <v>19</v>
      </c>
    </row>
    <row r="37" spans="1:17" x14ac:dyDescent="0.25">
      <c r="A37" s="2">
        <v>35</v>
      </c>
      <c r="B37" s="10">
        <v>46090</v>
      </c>
      <c r="C37" s="3" t="s">
        <v>51</v>
      </c>
      <c r="D37" s="5">
        <v>223.3</v>
      </c>
      <c r="E37" s="8"/>
      <c r="F37" s="6" t="s">
        <v>28</v>
      </c>
      <c r="G37" s="3" t="s">
        <v>29</v>
      </c>
      <c r="H37" s="6" t="s">
        <v>30</v>
      </c>
      <c r="I37" s="4"/>
      <c r="J37" s="6" t="s">
        <v>19</v>
      </c>
      <c r="K37" s="6" t="s">
        <v>19</v>
      </c>
      <c r="L37" s="6" t="s">
        <v>19</v>
      </c>
      <c r="M37" s="6" t="s">
        <v>19</v>
      </c>
      <c r="N37" s="6" t="s">
        <v>19</v>
      </c>
      <c r="O37" s="6" t="s">
        <v>19</v>
      </c>
      <c r="P37" s="6" t="s">
        <v>19</v>
      </c>
      <c r="Q37" s="6" t="s">
        <v>19</v>
      </c>
    </row>
    <row r="38" spans="1:17" x14ac:dyDescent="0.25">
      <c r="A38" s="2">
        <v>36</v>
      </c>
      <c r="B38" s="10">
        <v>46090</v>
      </c>
      <c r="C38" s="3" t="s">
        <v>51</v>
      </c>
      <c r="D38" s="5">
        <v>269.27999999999997</v>
      </c>
      <c r="E38" s="8"/>
      <c r="F38" s="6" t="s">
        <v>28</v>
      </c>
      <c r="G38" s="3" t="s">
        <v>29</v>
      </c>
      <c r="H38" s="6" t="s">
        <v>30</v>
      </c>
      <c r="I38" s="4"/>
      <c r="J38" s="6" t="s">
        <v>19</v>
      </c>
      <c r="K38" s="6" t="s">
        <v>19</v>
      </c>
      <c r="L38" s="6" t="s">
        <v>19</v>
      </c>
      <c r="M38" s="6" t="s">
        <v>19</v>
      </c>
      <c r="N38" s="6" t="s">
        <v>19</v>
      </c>
      <c r="O38" s="6" t="s">
        <v>19</v>
      </c>
      <c r="P38" s="6" t="s">
        <v>19</v>
      </c>
      <c r="Q38" s="6" t="s">
        <v>19</v>
      </c>
    </row>
    <row r="39" spans="1:17" x14ac:dyDescent="0.25">
      <c r="A39" s="2">
        <v>37</v>
      </c>
      <c r="B39" s="10">
        <v>46090</v>
      </c>
      <c r="C39" s="3" t="s">
        <v>45</v>
      </c>
      <c r="D39" s="5">
        <v>303.39999999999998</v>
      </c>
      <c r="E39" s="8"/>
      <c r="F39" s="6" t="s">
        <v>28</v>
      </c>
      <c r="G39" s="3" t="s">
        <v>29</v>
      </c>
      <c r="H39" s="6" t="s">
        <v>30</v>
      </c>
      <c r="I39" s="4"/>
      <c r="J39" s="6" t="s">
        <v>19</v>
      </c>
      <c r="K39" s="6" t="s">
        <v>19</v>
      </c>
      <c r="L39" s="6" t="s">
        <v>19</v>
      </c>
      <c r="M39" s="6" t="s">
        <v>19</v>
      </c>
      <c r="N39" s="6" t="s">
        <v>19</v>
      </c>
      <c r="O39" s="6" t="s">
        <v>19</v>
      </c>
      <c r="P39" s="6" t="s">
        <v>19</v>
      </c>
      <c r="Q39" s="6" t="s">
        <v>19</v>
      </c>
    </row>
    <row r="40" spans="1:17" x14ac:dyDescent="0.25">
      <c r="A40" s="2">
        <v>38</v>
      </c>
      <c r="B40" s="10">
        <v>46090</v>
      </c>
      <c r="C40" s="3" t="s">
        <v>38</v>
      </c>
      <c r="D40" s="5">
        <v>190.04</v>
      </c>
      <c r="E40" s="8"/>
      <c r="F40" s="6" t="s">
        <v>28</v>
      </c>
      <c r="G40" s="3" t="s">
        <v>29</v>
      </c>
      <c r="H40" s="6" t="s">
        <v>30</v>
      </c>
      <c r="I40" s="4"/>
      <c r="J40" s="6" t="s">
        <v>19</v>
      </c>
      <c r="K40" s="6" t="s">
        <v>19</v>
      </c>
      <c r="L40" s="6" t="s">
        <v>19</v>
      </c>
      <c r="M40" s="6" t="s">
        <v>19</v>
      </c>
      <c r="N40" s="6" t="s">
        <v>19</v>
      </c>
      <c r="O40" s="6" t="s">
        <v>19</v>
      </c>
      <c r="P40" s="6" t="s">
        <v>19</v>
      </c>
      <c r="Q40" s="6" t="s">
        <v>19</v>
      </c>
    </row>
    <row r="41" spans="1:17" x14ac:dyDescent="0.25">
      <c r="A41" s="2">
        <v>39</v>
      </c>
      <c r="B41" s="10">
        <v>46090</v>
      </c>
      <c r="C41" s="3" t="s">
        <v>38</v>
      </c>
      <c r="D41" s="5">
        <v>326.37</v>
      </c>
      <c r="E41" s="8"/>
      <c r="F41" s="6" t="s">
        <v>28</v>
      </c>
      <c r="G41" s="3" t="s">
        <v>29</v>
      </c>
      <c r="H41" s="6" t="s">
        <v>30</v>
      </c>
      <c r="I41" s="4"/>
      <c r="J41" s="6" t="s">
        <v>19</v>
      </c>
      <c r="K41" s="6" t="s">
        <v>19</v>
      </c>
      <c r="L41" s="6" t="s">
        <v>19</v>
      </c>
      <c r="M41" s="6" t="s">
        <v>19</v>
      </c>
      <c r="N41" s="6" t="s">
        <v>19</v>
      </c>
      <c r="O41" s="6" t="s">
        <v>19</v>
      </c>
      <c r="P41" s="6" t="s">
        <v>19</v>
      </c>
      <c r="Q41" s="6" t="s">
        <v>19</v>
      </c>
    </row>
    <row r="42" spans="1:17" x14ac:dyDescent="0.25">
      <c r="A42" s="2">
        <v>40</v>
      </c>
      <c r="B42" s="10">
        <v>46090</v>
      </c>
      <c r="C42" s="3" t="s">
        <v>37</v>
      </c>
      <c r="D42" s="5">
        <v>320.74</v>
      </c>
      <c r="E42" s="8"/>
      <c r="F42" s="6" t="s">
        <v>28</v>
      </c>
      <c r="G42" s="3" t="s">
        <v>29</v>
      </c>
      <c r="H42" s="6" t="s">
        <v>30</v>
      </c>
      <c r="I42" s="4"/>
      <c r="J42" s="6" t="s">
        <v>19</v>
      </c>
      <c r="K42" s="6" t="s">
        <v>19</v>
      </c>
      <c r="L42" s="6" t="s">
        <v>19</v>
      </c>
      <c r="M42" s="6" t="s">
        <v>19</v>
      </c>
      <c r="N42" s="6" t="s">
        <v>19</v>
      </c>
      <c r="O42" s="6" t="s">
        <v>19</v>
      </c>
      <c r="P42" s="6" t="s">
        <v>19</v>
      </c>
      <c r="Q42" s="6" t="s">
        <v>19</v>
      </c>
    </row>
    <row r="43" spans="1:17" x14ac:dyDescent="0.25">
      <c r="A43" s="2">
        <v>41</v>
      </c>
      <c r="B43" s="10">
        <v>46274</v>
      </c>
      <c r="C43" s="3" t="s">
        <v>62</v>
      </c>
      <c r="D43" s="5"/>
      <c r="E43" s="5">
        <v>17510.189999999999</v>
      </c>
      <c r="F43" s="6" t="s">
        <v>18</v>
      </c>
      <c r="G43" s="3" t="s">
        <v>63</v>
      </c>
      <c r="H43" s="6" t="s">
        <v>30</v>
      </c>
      <c r="I43" s="4"/>
      <c r="J43" s="6" t="s">
        <v>19</v>
      </c>
      <c r="K43" s="6" t="s">
        <v>19</v>
      </c>
      <c r="L43" s="6" t="s">
        <v>19</v>
      </c>
      <c r="M43" s="6" t="s">
        <v>19</v>
      </c>
      <c r="N43" s="6" t="s">
        <v>19</v>
      </c>
      <c r="O43" s="6" t="s">
        <v>19</v>
      </c>
      <c r="P43" s="6" t="s">
        <v>19</v>
      </c>
      <c r="Q43" s="6" t="s">
        <v>19</v>
      </c>
    </row>
    <row r="44" spans="1:17" x14ac:dyDescent="0.25">
      <c r="A44" s="2">
        <v>42</v>
      </c>
      <c r="B44" s="10">
        <v>46091</v>
      </c>
      <c r="C44" s="3" t="s">
        <v>27</v>
      </c>
      <c r="D44" s="5">
        <v>35.19</v>
      </c>
      <c r="E44" s="8"/>
      <c r="F44" s="6" t="s">
        <v>28</v>
      </c>
      <c r="G44" s="3" t="s">
        <v>29</v>
      </c>
      <c r="H44" s="6" t="s">
        <v>30</v>
      </c>
      <c r="I44" s="4"/>
      <c r="J44" s="6" t="s">
        <v>19</v>
      </c>
      <c r="K44" s="6" t="s">
        <v>19</v>
      </c>
      <c r="L44" s="6" t="s">
        <v>19</v>
      </c>
      <c r="M44" s="6" t="s">
        <v>19</v>
      </c>
      <c r="N44" s="6" t="s">
        <v>19</v>
      </c>
      <c r="O44" s="6" t="s">
        <v>19</v>
      </c>
      <c r="P44" s="6" t="s">
        <v>19</v>
      </c>
      <c r="Q44" s="6" t="s">
        <v>19</v>
      </c>
    </row>
    <row r="45" spans="1:17" x14ac:dyDescent="0.25">
      <c r="A45" s="2">
        <v>43</v>
      </c>
      <c r="B45" s="10">
        <v>46091</v>
      </c>
      <c r="C45" s="3" t="s">
        <v>34</v>
      </c>
      <c r="D45" s="5">
        <v>353.3</v>
      </c>
      <c r="E45" s="8"/>
      <c r="F45" s="6" t="s">
        <v>28</v>
      </c>
      <c r="G45" s="3" t="s">
        <v>29</v>
      </c>
      <c r="H45" s="6" t="s">
        <v>30</v>
      </c>
      <c r="I45" s="4"/>
      <c r="J45" s="6" t="s">
        <v>19</v>
      </c>
      <c r="K45" s="6" t="s">
        <v>19</v>
      </c>
      <c r="L45" s="6" t="s">
        <v>19</v>
      </c>
      <c r="M45" s="6" t="s">
        <v>19</v>
      </c>
      <c r="N45" s="6" t="s">
        <v>19</v>
      </c>
      <c r="O45" s="6" t="s">
        <v>19</v>
      </c>
      <c r="P45" s="6" t="s">
        <v>19</v>
      </c>
      <c r="Q45" s="6" t="s">
        <v>19</v>
      </c>
    </row>
    <row r="46" spans="1:17" x14ac:dyDescent="0.25">
      <c r="A46" s="2">
        <v>44</v>
      </c>
      <c r="B46" s="10">
        <v>46101</v>
      </c>
      <c r="C46" s="3" t="s">
        <v>27</v>
      </c>
      <c r="D46" s="5">
        <v>118.06</v>
      </c>
      <c r="E46" s="8"/>
      <c r="F46" s="6" t="s">
        <v>28</v>
      </c>
      <c r="G46" s="3" t="s">
        <v>29</v>
      </c>
      <c r="H46" s="6" t="s">
        <v>30</v>
      </c>
      <c r="I46" s="4"/>
      <c r="J46" s="6" t="s">
        <v>19</v>
      </c>
      <c r="K46" s="6" t="s">
        <v>19</v>
      </c>
      <c r="L46" s="6" t="s">
        <v>19</v>
      </c>
      <c r="M46" s="6" t="s">
        <v>19</v>
      </c>
      <c r="N46" s="6" t="s">
        <v>19</v>
      </c>
      <c r="O46" s="6" t="s">
        <v>19</v>
      </c>
      <c r="P46" s="6" t="s">
        <v>19</v>
      </c>
      <c r="Q46" s="6" t="s">
        <v>19</v>
      </c>
    </row>
    <row r="47" spans="1:17" x14ac:dyDescent="0.25">
      <c r="A47" s="2">
        <v>45</v>
      </c>
      <c r="B47" s="10">
        <v>46101</v>
      </c>
      <c r="C47" s="3" t="s">
        <v>42</v>
      </c>
      <c r="D47" s="5">
        <v>327.85</v>
      </c>
      <c r="E47" s="8"/>
      <c r="F47" s="6" t="s">
        <v>28</v>
      </c>
      <c r="G47" s="3" t="s">
        <v>29</v>
      </c>
      <c r="H47" s="6" t="s">
        <v>30</v>
      </c>
      <c r="I47" s="4"/>
      <c r="J47" s="6" t="s">
        <v>19</v>
      </c>
      <c r="K47" s="6" t="s">
        <v>19</v>
      </c>
      <c r="L47" s="6" t="s">
        <v>19</v>
      </c>
      <c r="M47" s="6" t="s">
        <v>19</v>
      </c>
      <c r="N47" s="6" t="s">
        <v>19</v>
      </c>
      <c r="O47" s="6" t="s">
        <v>19</v>
      </c>
      <c r="P47" s="6" t="s">
        <v>19</v>
      </c>
      <c r="Q47" s="6" t="s">
        <v>19</v>
      </c>
    </row>
    <row r="48" spans="1:17" x14ac:dyDescent="0.25">
      <c r="A48" s="2">
        <v>46</v>
      </c>
      <c r="B48" s="10">
        <v>46101</v>
      </c>
      <c r="C48" s="3" t="s">
        <v>55</v>
      </c>
      <c r="D48" s="5">
        <v>160.32</v>
      </c>
      <c r="E48" s="8"/>
      <c r="F48" s="6" t="s">
        <v>28</v>
      </c>
      <c r="G48" s="3" t="s">
        <v>29</v>
      </c>
      <c r="H48" s="6" t="s">
        <v>30</v>
      </c>
      <c r="I48" s="4"/>
      <c r="J48" s="6" t="s">
        <v>19</v>
      </c>
      <c r="K48" s="6" t="s">
        <v>19</v>
      </c>
      <c r="L48" s="6" t="s">
        <v>19</v>
      </c>
      <c r="M48" s="6" t="s">
        <v>19</v>
      </c>
      <c r="N48" s="6" t="s">
        <v>19</v>
      </c>
      <c r="O48" s="6" t="s">
        <v>19</v>
      </c>
      <c r="P48" s="6" t="s">
        <v>19</v>
      </c>
      <c r="Q48" s="6" t="s">
        <v>19</v>
      </c>
    </row>
    <row r="49" spans="1:17" x14ac:dyDescent="0.25">
      <c r="A49" s="2">
        <v>47</v>
      </c>
      <c r="B49" s="10">
        <v>46101</v>
      </c>
      <c r="C49" s="3" t="s">
        <v>65</v>
      </c>
      <c r="D49" s="5">
        <v>112.5</v>
      </c>
      <c r="E49" s="8"/>
      <c r="F49" s="6" t="s">
        <v>28</v>
      </c>
      <c r="G49" s="3" t="s">
        <v>29</v>
      </c>
      <c r="H49" s="6" t="s">
        <v>30</v>
      </c>
      <c r="I49" s="4"/>
      <c r="J49" s="6" t="s">
        <v>19</v>
      </c>
      <c r="K49" s="6" t="s">
        <v>19</v>
      </c>
      <c r="L49" s="6" t="s">
        <v>19</v>
      </c>
      <c r="M49" s="6" t="s">
        <v>19</v>
      </c>
      <c r="N49" s="6" t="s">
        <v>19</v>
      </c>
      <c r="O49" s="6" t="s">
        <v>19</v>
      </c>
      <c r="P49" s="6" t="s">
        <v>19</v>
      </c>
      <c r="Q49" s="6" t="s">
        <v>19</v>
      </c>
    </row>
    <row r="50" spans="1:17" x14ac:dyDescent="0.25">
      <c r="A50" s="2">
        <v>48</v>
      </c>
      <c r="B50" s="10">
        <v>46101</v>
      </c>
      <c r="C50" s="3" t="s">
        <v>65</v>
      </c>
      <c r="D50" s="5">
        <v>284.10000000000002</v>
      </c>
      <c r="E50" s="8"/>
      <c r="F50" s="6" t="s">
        <v>28</v>
      </c>
      <c r="G50" s="3" t="s">
        <v>29</v>
      </c>
      <c r="H50" s="6" t="s">
        <v>30</v>
      </c>
      <c r="I50" s="4"/>
      <c r="J50" s="6" t="s">
        <v>19</v>
      </c>
      <c r="K50" s="6" t="s">
        <v>19</v>
      </c>
      <c r="L50" s="6" t="s">
        <v>19</v>
      </c>
      <c r="M50" s="6" t="s">
        <v>19</v>
      </c>
      <c r="N50" s="6" t="s">
        <v>19</v>
      </c>
      <c r="O50" s="6" t="s">
        <v>19</v>
      </c>
      <c r="P50" s="6" t="s">
        <v>19</v>
      </c>
      <c r="Q50" s="6" t="s">
        <v>19</v>
      </c>
    </row>
    <row r="51" spans="1:17" x14ac:dyDescent="0.25">
      <c r="A51" s="2">
        <v>49</v>
      </c>
      <c r="B51" s="10"/>
      <c r="C51" s="3"/>
      <c r="D51" s="5"/>
      <c r="E51" s="8"/>
      <c r="F51" s="6"/>
      <c r="G51" s="3"/>
      <c r="H51" s="6"/>
      <c r="I51" s="4"/>
      <c r="J51" s="6" t="s">
        <v>19</v>
      </c>
      <c r="K51" s="6" t="s">
        <v>19</v>
      </c>
      <c r="L51" s="6" t="s">
        <v>19</v>
      </c>
      <c r="M51" s="6" t="s">
        <v>19</v>
      </c>
      <c r="N51" s="6" t="s">
        <v>19</v>
      </c>
      <c r="O51" s="6" t="s">
        <v>19</v>
      </c>
      <c r="P51" s="6" t="s">
        <v>19</v>
      </c>
      <c r="Q51" s="6" t="s">
        <v>19</v>
      </c>
    </row>
    <row r="52" spans="1:17" x14ac:dyDescent="0.25">
      <c r="A52" s="2">
        <v>50</v>
      </c>
      <c r="B52" s="10"/>
      <c r="C52" s="3"/>
      <c r="D52" s="5"/>
      <c r="E52" s="8"/>
      <c r="F52" s="6"/>
      <c r="G52" s="3"/>
      <c r="H52" s="6"/>
      <c r="I52" s="4"/>
      <c r="J52" s="6" t="s">
        <v>19</v>
      </c>
      <c r="K52" s="6" t="s">
        <v>19</v>
      </c>
      <c r="L52" s="6" t="s">
        <v>19</v>
      </c>
      <c r="M52" s="6" t="s">
        <v>19</v>
      </c>
      <c r="N52" s="6" t="s">
        <v>19</v>
      </c>
      <c r="O52" s="6" t="s">
        <v>19</v>
      </c>
      <c r="P52" s="6" t="s">
        <v>19</v>
      </c>
      <c r="Q52" s="6" t="s">
        <v>19</v>
      </c>
    </row>
    <row r="53" spans="1:17" x14ac:dyDescent="0.25">
      <c r="A53" s="2">
        <v>51</v>
      </c>
      <c r="B53" s="10"/>
      <c r="C53" s="3"/>
      <c r="D53" s="5"/>
      <c r="E53" s="8"/>
      <c r="F53" s="6"/>
      <c r="G53" s="3"/>
      <c r="H53" s="6"/>
      <c r="I53" s="4"/>
      <c r="J53" s="6" t="s">
        <v>19</v>
      </c>
      <c r="K53" s="6" t="s">
        <v>19</v>
      </c>
      <c r="L53" s="6" t="s">
        <v>19</v>
      </c>
      <c r="M53" s="6" t="s">
        <v>19</v>
      </c>
      <c r="N53" s="6" t="s">
        <v>19</v>
      </c>
      <c r="O53" s="6" t="s">
        <v>19</v>
      </c>
      <c r="P53" s="6" t="s">
        <v>19</v>
      </c>
      <c r="Q53" s="6" t="s">
        <v>19</v>
      </c>
    </row>
    <row r="54" spans="1:17" x14ac:dyDescent="0.25">
      <c r="A54" s="2">
        <v>52</v>
      </c>
      <c r="B54" s="10"/>
      <c r="C54" s="3"/>
      <c r="D54" s="5"/>
      <c r="E54" s="8"/>
      <c r="F54" s="6"/>
      <c r="G54" s="3"/>
      <c r="H54" s="6"/>
      <c r="I54" s="4"/>
      <c r="J54" s="6" t="s">
        <v>19</v>
      </c>
      <c r="K54" s="6" t="s">
        <v>19</v>
      </c>
      <c r="L54" s="6" t="s">
        <v>19</v>
      </c>
      <c r="M54" s="6" t="s">
        <v>19</v>
      </c>
      <c r="N54" s="6" t="s">
        <v>19</v>
      </c>
      <c r="O54" s="6" t="s">
        <v>19</v>
      </c>
      <c r="P54" s="6" t="s">
        <v>19</v>
      </c>
      <c r="Q54" s="6" t="s">
        <v>19</v>
      </c>
    </row>
    <row r="55" spans="1:17" x14ac:dyDescent="0.25">
      <c r="A55" s="2">
        <v>53</v>
      </c>
      <c r="B55" s="10"/>
      <c r="C55" s="3"/>
      <c r="D55" s="5"/>
      <c r="E55" s="8"/>
      <c r="F55" s="6"/>
      <c r="G55" s="3"/>
      <c r="H55" s="6"/>
      <c r="I55" s="4"/>
      <c r="J55" s="6" t="s">
        <v>19</v>
      </c>
      <c r="K55" s="6" t="s">
        <v>19</v>
      </c>
      <c r="L55" s="6" t="s">
        <v>19</v>
      </c>
      <c r="M55" s="6" t="s">
        <v>19</v>
      </c>
      <c r="N55" s="6" t="s">
        <v>19</v>
      </c>
      <c r="O55" s="6" t="s">
        <v>19</v>
      </c>
      <c r="P55" s="6" t="s">
        <v>19</v>
      </c>
      <c r="Q55" s="6" t="s">
        <v>19</v>
      </c>
    </row>
    <row r="56" spans="1:17" x14ac:dyDescent="0.25">
      <c r="A56" s="2">
        <v>54</v>
      </c>
      <c r="B56" s="10"/>
      <c r="C56" s="3"/>
      <c r="D56" s="5"/>
      <c r="E56" s="8"/>
      <c r="F56" s="6"/>
      <c r="G56" s="3"/>
      <c r="H56" s="6"/>
      <c r="I56" s="4"/>
      <c r="J56" s="6" t="s">
        <v>19</v>
      </c>
      <c r="K56" s="6" t="s">
        <v>19</v>
      </c>
      <c r="L56" s="6" t="s">
        <v>19</v>
      </c>
      <c r="M56" s="6" t="s">
        <v>19</v>
      </c>
      <c r="N56" s="6" t="s">
        <v>19</v>
      </c>
      <c r="O56" s="6" t="s">
        <v>19</v>
      </c>
      <c r="P56" s="6" t="s">
        <v>19</v>
      </c>
      <c r="Q56" s="6" t="s">
        <v>19</v>
      </c>
    </row>
    <row r="57" spans="1:17" x14ac:dyDescent="0.25">
      <c r="A57" s="2">
        <v>55</v>
      </c>
      <c r="B57" s="10"/>
      <c r="C57" s="3"/>
      <c r="D57" s="5"/>
      <c r="E57" s="8"/>
      <c r="F57" s="6"/>
      <c r="G57" s="3"/>
      <c r="H57" s="6"/>
      <c r="I57" s="4"/>
      <c r="J57" s="6" t="s">
        <v>19</v>
      </c>
      <c r="K57" s="6" t="s">
        <v>19</v>
      </c>
      <c r="L57" s="6" t="s">
        <v>19</v>
      </c>
      <c r="M57" s="6" t="s">
        <v>19</v>
      </c>
      <c r="N57" s="6" t="s">
        <v>19</v>
      </c>
      <c r="O57" s="6" t="s">
        <v>19</v>
      </c>
      <c r="P57" s="6" t="s">
        <v>19</v>
      </c>
      <c r="Q57" s="6" t="s">
        <v>19</v>
      </c>
    </row>
    <row r="58" spans="1:17" x14ac:dyDescent="0.25">
      <c r="A58" s="2">
        <v>56</v>
      </c>
      <c r="B58" s="10"/>
      <c r="C58" s="3"/>
      <c r="D58" s="5"/>
      <c r="E58" s="8"/>
      <c r="F58" s="6"/>
      <c r="G58" s="3"/>
      <c r="H58" s="6"/>
      <c r="I58" s="4"/>
      <c r="J58" s="6" t="s">
        <v>19</v>
      </c>
      <c r="K58" s="6" t="s">
        <v>19</v>
      </c>
      <c r="L58" s="6" t="s">
        <v>19</v>
      </c>
      <c r="M58" s="6" t="s">
        <v>19</v>
      </c>
      <c r="N58" s="6" t="s">
        <v>19</v>
      </c>
      <c r="O58" s="6" t="s">
        <v>19</v>
      </c>
      <c r="P58" s="6" t="s">
        <v>19</v>
      </c>
      <c r="Q58" s="6" t="s">
        <v>19</v>
      </c>
    </row>
    <row r="59" spans="1:17" x14ac:dyDescent="0.25">
      <c r="A59" s="2">
        <v>57</v>
      </c>
      <c r="B59" s="10"/>
      <c r="C59" s="3"/>
      <c r="D59" s="5"/>
      <c r="E59" s="8"/>
      <c r="F59" s="6"/>
      <c r="G59" s="3"/>
      <c r="H59" s="6"/>
      <c r="I59" s="4"/>
      <c r="J59" s="6" t="s">
        <v>19</v>
      </c>
      <c r="K59" s="6" t="s">
        <v>19</v>
      </c>
      <c r="L59" s="6" t="s">
        <v>19</v>
      </c>
      <c r="M59" s="6" t="s">
        <v>19</v>
      </c>
      <c r="N59" s="6" t="s">
        <v>19</v>
      </c>
      <c r="O59" s="6" t="s">
        <v>19</v>
      </c>
      <c r="P59" s="6" t="s">
        <v>19</v>
      </c>
      <c r="Q59" s="6" t="s">
        <v>19</v>
      </c>
    </row>
    <row r="60" spans="1:17" x14ac:dyDescent="0.25">
      <c r="A60" s="2">
        <v>58</v>
      </c>
      <c r="B60" s="10"/>
      <c r="C60" s="3"/>
      <c r="D60" s="5"/>
      <c r="E60" s="8"/>
      <c r="F60" s="6"/>
      <c r="G60" s="3"/>
      <c r="H60" s="6"/>
      <c r="I60" s="4"/>
      <c r="J60" s="6" t="s">
        <v>19</v>
      </c>
      <c r="K60" s="6" t="s">
        <v>19</v>
      </c>
      <c r="L60" s="6" t="s">
        <v>19</v>
      </c>
      <c r="M60" s="6" t="s">
        <v>19</v>
      </c>
      <c r="N60" s="6" t="s">
        <v>19</v>
      </c>
      <c r="O60" s="6" t="s">
        <v>19</v>
      </c>
      <c r="P60" s="6" t="s">
        <v>19</v>
      </c>
      <c r="Q60" s="6" t="s">
        <v>19</v>
      </c>
    </row>
    <row r="61" spans="1:17" x14ac:dyDescent="0.25">
      <c r="A61" s="2">
        <v>59</v>
      </c>
      <c r="B61" s="10"/>
      <c r="C61" s="3"/>
      <c r="D61" s="5"/>
      <c r="E61" s="8"/>
      <c r="F61" s="6"/>
      <c r="G61" s="3"/>
      <c r="H61" s="6"/>
      <c r="I61" s="4"/>
      <c r="J61" s="6" t="s">
        <v>19</v>
      </c>
      <c r="K61" s="6" t="s">
        <v>19</v>
      </c>
      <c r="L61" s="6" t="s">
        <v>19</v>
      </c>
      <c r="M61" s="6" t="s">
        <v>19</v>
      </c>
      <c r="N61" s="6" t="s">
        <v>19</v>
      </c>
      <c r="O61" s="6" t="s">
        <v>19</v>
      </c>
      <c r="P61" s="6" t="s">
        <v>19</v>
      </c>
      <c r="Q61" s="6" t="s">
        <v>19</v>
      </c>
    </row>
    <row r="62" spans="1:17" x14ac:dyDescent="0.25">
      <c r="A62" s="2">
        <v>60</v>
      </c>
      <c r="B62" s="10"/>
      <c r="C62" s="3"/>
      <c r="D62" s="5"/>
      <c r="E62" s="8"/>
      <c r="F62" s="6"/>
      <c r="G62" s="3"/>
      <c r="H62" s="6"/>
      <c r="I62" s="4"/>
      <c r="J62" s="6" t="s">
        <v>19</v>
      </c>
      <c r="K62" s="6" t="s">
        <v>19</v>
      </c>
      <c r="L62" s="6" t="s">
        <v>19</v>
      </c>
      <c r="M62" s="6" t="s">
        <v>19</v>
      </c>
      <c r="N62" s="6" t="s">
        <v>19</v>
      </c>
      <c r="O62" s="6" t="s">
        <v>19</v>
      </c>
      <c r="P62" s="6" t="s">
        <v>19</v>
      </c>
      <c r="Q62" s="6" t="s">
        <v>19</v>
      </c>
    </row>
    <row r="63" spans="1:17" x14ac:dyDescent="0.25">
      <c r="A63" s="2">
        <v>61</v>
      </c>
      <c r="B63" s="10"/>
      <c r="C63" s="3"/>
      <c r="D63" s="5"/>
      <c r="E63" s="8"/>
      <c r="F63" s="6"/>
      <c r="G63" s="3"/>
      <c r="H63" s="6"/>
      <c r="I63" s="4"/>
      <c r="J63" s="6" t="s">
        <v>19</v>
      </c>
      <c r="K63" s="6" t="s">
        <v>19</v>
      </c>
      <c r="L63" s="6" t="s">
        <v>19</v>
      </c>
      <c r="M63" s="6" t="s">
        <v>19</v>
      </c>
      <c r="N63" s="6" t="s">
        <v>19</v>
      </c>
      <c r="O63" s="6" t="s">
        <v>19</v>
      </c>
      <c r="P63" s="6" t="s">
        <v>19</v>
      </c>
      <c r="Q63" s="6" t="s">
        <v>19</v>
      </c>
    </row>
    <row r="64" spans="1:17" x14ac:dyDescent="0.25">
      <c r="A64" s="2">
        <v>62</v>
      </c>
      <c r="B64" s="10"/>
      <c r="C64" s="3"/>
      <c r="D64" s="5"/>
      <c r="E64" s="8"/>
      <c r="F64" s="6"/>
      <c r="G64" s="3"/>
      <c r="H64" s="6"/>
      <c r="I64" s="4"/>
      <c r="J64" s="6" t="s">
        <v>19</v>
      </c>
      <c r="K64" s="6" t="s">
        <v>19</v>
      </c>
      <c r="L64" s="6" t="s">
        <v>19</v>
      </c>
      <c r="M64" s="6" t="s">
        <v>19</v>
      </c>
      <c r="N64" s="6" t="s">
        <v>19</v>
      </c>
      <c r="O64" s="6" t="s">
        <v>19</v>
      </c>
      <c r="P64" s="6" t="s">
        <v>19</v>
      </c>
      <c r="Q64" s="6" t="s">
        <v>19</v>
      </c>
    </row>
    <row r="65" spans="1:17" x14ac:dyDescent="0.25">
      <c r="A65" s="2">
        <v>63</v>
      </c>
      <c r="B65" s="10"/>
      <c r="C65" s="3"/>
      <c r="D65" s="5"/>
      <c r="E65" s="8"/>
      <c r="F65" s="6"/>
      <c r="G65" s="3"/>
      <c r="H65" s="6"/>
      <c r="I65" s="4"/>
      <c r="J65" s="6" t="s">
        <v>19</v>
      </c>
      <c r="K65" s="6" t="s">
        <v>19</v>
      </c>
      <c r="L65" s="6" t="s">
        <v>19</v>
      </c>
      <c r="M65" s="6" t="s">
        <v>19</v>
      </c>
      <c r="N65" s="6" t="s">
        <v>19</v>
      </c>
      <c r="O65" s="6" t="s">
        <v>19</v>
      </c>
      <c r="P65" s="6" t="s">
        <v>19</v>
      </c>
      <c r="Q65" s="6" t="s">
        <v>19</v>
      </c>
    </row>
    <row r="66" spans="1:17" x14ac:dyDescent="0.25">
      <c r="A66" s="2">
        <v>64</v>
      </c>
      <c r="B66" s="10"/>
      <c r="C66" s="3"/>
      <c r="D66" s="5"/>
      <c r="E66" s="8"/>
      <c r="F66" s="6"/>
      <c r="G66" s="3"/>
      <c r="H66" s="6"/>
      <c r="I66" s="4"/>
      <c r="J66" s="6" t="s">
        <v>19</v>
      </c>
      <c r="K66" s="6" t="s">
        <v>19</v>
      </c>
      <c r="L66" s="6" t="s">
        <v>19</v>
      </c>
      <c r="M66" s="6" t="s">
        <v>19</v>
      </c>
      <c r="N66" s="6" t="s">
        <v>19</v>
      </c>
      <c r="O66" s="6" t="s">
        <v>19</v>
      </c>
      <c r="P66" s="6" t="s">
        <v>19</v>
      </c>
      <c r="Q66" s="6" t="s">
        <v>19</v>
      </c>
    </row>
    <row r="67" spans="1:17" x14ac:dyDescent="0.25">
      <c r="A67" s="2">
        <v>65</v>
      </c>
      <c r="B67" s="10"/>
      <c r="C67" s="3"/>
      <c r="D67" s="5"/>
      <c r="E67" s="8"/>
      <c r="F67" s="6"/>
      <c r="G67" s="3"/>
      <c r="H67" s="6"/>
      <c r="I67" s="4"/>
      <c r="J67" s="6" t="s">
        <v>19</v>
      </c>
      <c r="K67" s="6" t="s">
        <v>19</v>
      </c>
      <c r="L67" s="6" t="s">
        <v>19</v>
      </c>
      <c r="M67" s="6" t="s">
        <v>19</v>
      </c>
      <c r="N67" s="6" t="s">
        <v>19</v>
      </c>
      <c r="O67" s="6" t="s">
        <v>19</v>
      </c>
      <c r="P67" s="6" t="s">
        <v>19</v>
      </c>
      <c r="Q67" s="6" t="s">
        <v>19</v>
      </c>
    </row>
    <row r="68" spans="1:17" x14ac:dyDescent="0.25">
      <c r="A68" s="2">
        <v>66</v>
      </c>
      <c r="B68" s="10"/>
      <c r="C68" s="3"/>
      <c r="D68" s="5"/>
      <c r="E68" s="8"/>
      <c r="F68" s="6"/>
      <c r="G68" s="3"/>
      <c r="H68" s="6"/>
      <c r="I68" s="4"/>
      <c r="J68" s="6" t="s">
        <v>19</v>
      </c>
      <c r="K68" s="6" t="s">
        <v>19</v>
      </c>
      <c r="L68" s="6" t="s">
        <v>19</v>
      </c>
      <c r="M68" s="6" t="s">
        <v>19</v>
      </c>
      <c r="N68" s="6" t="s">
        <v>19</v>
      </c>
      <c r="O68" s="6" t="s">
        <v>19</v>
      </c>
      <c r="P68" s="6" t="s">
        <v>19</v>
      </c>
      <c r="Q68" s="6" t="s">
        <v>19</v>
      </c>
    </row>
    <row r="69" spans="1:17" x14ac:dyDescent="0.25">
      <c r="A69" s="2">
        <v>67</v>
      </c>
      <c r="B69" s="10"/>
      <c r="C69" s="3"/>
      <c r="D69" s="5"/>
      <c r="E69" s="8"/>
      <c r="F69" s="6"/>
      <c r="G69" s="3"/>
      <c r="H69" s="6"/>
      <c r="I69" s="4"/>
      <c r="J69" s="6" t="s">
        <v>19</v>
      </c>
      <c r="K69" s="6" t="s">
        <v>19</v>
      </c>
      <c r="L69" s="6" t="s">
        <v>19</v>
      </c>
      <c r="M69" s="6" t="s">
        <v>19</v>
      </c>
      <c r="N69" s="6" t="s">
        <v>19</v>
      </c>
      <c r="O69" s="6" t="s">
        <v>19</v>
      </c>
      <c r="P69" s="6" t="s">
        <v>19</v>
      </c>
      <c r="Q69" s="6" t="s">
        <v>19</v>
      </c>
    </row>
    <row r="70" spans="1:17" x14ac:dyDescent="0.25">
      <c r="A70" s="2">
        <v>68</v>
      </c>
      <c r="B70" s="10"/>
      <c r="C70" s="3"/>
      <c r="D70" s="8"/>
      <c r="E70" s="5"/>
      <c r="F70" s="6"/>
      <c r="G70" s="3"/>
      <c r="H70" s="6"/>
      <c r="I70" s="4"/>
      <c r="J70" s="6" t="s">
        <v>19</v>
      </c>
      <c r="K70" s="6" t="s">
        <v>19</v>
      </c>
      <c r="L70" s="6" t="s">
        <v>19</v>
      </c>
      <c r="M70" s="6" t="s">
        <v>19</v>
      </c>
      <c r="N70" s="6" t="s">
        <v>19</v>
      </c>
      <c r="O70" s="6" t="s">
        <v>19</v>
      </c>
      <c r="P70" s="6" t="s">
        <v>19</v>
      </c>
      <c r="Q70" s="6" t="s">
        <v>19</v>
      </c>
    </row>
    <row r="71" spans="1:17" x14ac:dyDescent="0.25">
      <c r="A71" s="2">
        <v>69</v>
      </c>
      <c r="B71" s="10"/>
      <c r="C71" s="3"/>
      <c r="D71" s="5"/>
      <c r="E71" s="8"/>
      <c r="F71" s="6"/>
      <c r="G71" s="3"/>
      <c r="H71" s="6"/>
      <c r="I71" s="4"/>
      <c r="J71" s="6" t="s">
        <v>19</v>
      </c>
      <c r="K71" s="6" t="s">
        <v>19</v>
      </c>
      <c r="L71" s="6" t="s">
        <v>19</v>
      </c>
      <c r="M71" s="6" t="s">
        <v>19</v>
      </c>
      <c r="N71" s="6" t="s">
        <v>19</v>
      </c>
      <c r="O71" s="6" t="s">
        <v>19</v>
      </c>
      <c r="P71" s="6" t="s">
        <v>19</v>
      </c>
      <c r="Q71" s="6" t="s">
        <v>19</v>
      </c>
    </row>
    <row r="72" spans="1:17" x14ac:dyDescent="0.25">
      <c r="A72" s="2">
        <v>70</v>
      </c>
      <c r="B72" s="10"/>
      <c r="C72" s="3"/>
      <c r="D72" s="5"/>
      <c r="E72" s="8"/>
      <c r="F72" s="6"/>
      <c r="G72" s="3"/>
      <c r="H72" s="6"/>
      <c r="I72" s="4"/>
      <c r="J72" s="6" t="s">
        <v>19</v>
      </c>
      <c r="K72" s="6" t="s">
        <v>19</v>
      </c>
      <c r="L72" s="6" t="s">
        <v>19</v>
      </c>
      <c r="M72" s="6" t="s">
        <v>19</v>
      </c>
      <c r="N72" s="6" t="s">
        <v>19</v>
      </c>
      <c r="O72" s="6" t="s">
        <v>19</v>
      </c>
      <c r="P72" s="6" t="s">
        <v>19</v>
      </c>
      <c r="Q72" s="6" t="s">
        <v>19</v>
      </c>
    </row>
    <row r="73" spans="1:17" x14ac:dyDescent="0.25">
      <c r="A73" s="2">
        <v>71</v>
      </c>
      <c r="B73" s="10"/>
      <c r="C73" s="3"/>
      <c r="D73" s="5"/>
      <c r="E73" s="8"/>
      <c r="F73" s="6"/>
      <c r="G73" s="3"/>
      <c r="H73" s="6"/>
      <c r="I73" s="4"/>
      <c r="J73" s="6" t="s">
        <v>19</v>
      </c>
      <c r="K73" s="6" t="s">
        <v>19</v>
      </c>
      <c r="L73" s="6" t="s">
        <v>19</v>
      </c>
      <c r="M73" s="6" t="s">
        <v>19</v>
      </c>
      <c r="N73" s="6" t="s">
        <v>19</v>
      </c>
      <c r="O73" s="6" t="s">
        <v>19</v>
      </c>
      <c r="P73" s="6" t="s">
        <v>19</v>
      </c>
      <c r="Q73" s="6" t="s">
        <v>19</v>
      </c>
    </row>
    <row r="74" spans="1:17" x14ac:dyDescent="0.25">
      <c r="A74" s="2">
        <v>72</v>
      </c>
      <c r="B74" s="10"/>
      <c r="C74" s="3"/>
      <c r="D74" s="5"/>
      <c r="E74" s="8"/>
      <c r="F74" s="6"/>
      <c r="G74" s="3"/>
      <c r="H74" s="6"/>
      <c r="I74" s="4"/>
      <c r="J74" s="6" t="s">
        <v>19</v>
      </c>
      <c r="K74" s="6" t="s">
        <v>19</v>
      </c>
      <c r="L74" s="6" t="s">
        <v>19</v>
      </c>
      <c r="M74" s="6" t="s">
        <v>19</v>
      </c>
      <c r="N74" s="6" t="s">
        <v>19</v>
      </c>
      <c r="O74" s="6" t="s">
        <v>19</v>
      </c>
      <c r="P74" s="6" t="s">
        <v>19</v>
      </c>
      <c r="Q74" s="6" t="s">
        <v>19</v>
      </c>
    </row>
    <row r="75" spans="1:17" x14ac:dyDescent="0.25">
      <c r="A75" s="2">
        <v>73</v>
      </c>
      <c r="B75" s="10"/>
      <c r="C75" s="3"/>
      <c r="D75" s="5"/>
      <c r="E75" s="8"/>
      <c r="F75" s="6"/>
      <c r="G75" s="3"/>
      <c r="H75" s="6"/>
      <c r="I75" s="4"/>
      <c r="J75" s="6" t="s">
        <v>19</v>
      </c>
      <c r="K75" s="6" t="s">
        <v>19</v>
      </c>
      <c r="L75" s="6" t="s">
        <v>19</v>
      </c>
      <c r="M75" s="6" t="s">
        <v>19</v>
      </c>
      <c r="N75" s="6" t="s">
        <v>19</v>
      </c>
      <c r="O75" s="6" t="s">
        <v>19</v>
      </c>
      <c r="P75" s="6" t="s">
        <v>19</v>
      </c>
      <c r="Q75" s="6" t="s">
        <v>19</v>
      </c>
    </row>
    <row r="76" spans="1:17" x14ac:dyDescent="0.25">
      <c r="A76" s="2">
        <v>74</v>
      </c>
      <c r="B76" s="10"/>
      <c r="C76" s="3"/>
      <c r="D76" s="5"/>
      <c r="E76" s="8"/>
      <c r="F76" s="6"/>
      <c r="G76" s="3"/>
      <c r="H76" s="6"/>
      <c r="I76" s="4"/>
      <c r="J76" s="6" t="s">
        <v>19</v>
      </c>
      <c r="K76" s="6" t="s">
        <v>19</v>
      </c>
      <c r="L76" s="6" t="s">
        <v>19</v>
      </c>
      <c r="M76" s="6" t="s">
        <v>19</v>
      </c>
      <c r="N76" s="6" t="s">
        <v>19</v>
      </c>
      <c r="O76" s="6" t="s">
        <v>19</v>
      </c>
      <c r="P76" s="6" t="s">
        <v>19</v>
      </c>
      <c r="Q76" s="6" t="s">
        <v>19</v>
      </c>
    </row>
    <row r="77" spans="1:17" x14ac:dyDescent="0.25">
      <c r="A77" s="2">
        <v>75</v>
      </c>
      <c r="B77" s="10"/>
      <c r="C77" s="3"/>
      <c r="D77" s="5"/>
      <c r="E77" s="8"/>
      <c r="F77" s="6"/>
      <c r="G77" s="3"/>
      <c r="H77" s="6"/>
      <c r="I77" s="4"/>
      <c r="J77" s="6" t="s">
        <v>19</v>
      </c>
      <c r="K77" s="6" t="s">
        <v>19</v>
      </c>
      <c r="L77" s="6" t="s">
        <v>19</v>
      </c>
      <c r="M77" s="6" t="s">
        <v>19</v>
      </c>
      <c r="N77" s="6" t="s">
        <v>19</v>
      </c>
      <c r="O77" s="6" t="s">
        <v>19</v>
      </c>
      <c r="P77" s="6" t="s">
        <v>19</v>
      </c>
      <c r="Q77" s="6" t="s">
        <v>19</v>
      </c>
    </row>
    <row r="78" spans="1:17" x14ac:dyDescent="0.25">
      <c r="A78" s="2">
        <v>76</v>
      </c>
      <c r="B78" s="10"/>
      <c r="C78" s="3"/>
      <c r="D78" s="5"/>
      <c r="E78" s="8"/>
      <c r="F78" s="6"/>
      <c r="G78" s="3"/>
      <c r="H78" s="6"/>
      <c r="I78" s="4"/>
      <c r="J78" s="6" t="s">
        <v>19</v>
      </c>
      <c r="K78" s="6" t="s">
        <v>19</v>
      </c>
      <c r="L78" s="6" t="s">
        <v>19</v>
      </c>
      <c r="M78" s="6" t="s">
        <v>19</v>
      </c>
      <c r="N78" s="6" t="s">
        <v>19</v>
      </c>
      <c r="O78" s="6" t="s">
        <v>19</v>
      </c>
      <c r="P78" s="6" t="s">
        <v>19</v>
      </c>
      <c r="Q78" s="6" t="s">
        <v>19</v>
      </c>
    </row>
    <row r="79" spans="1:17" x14ac:dyDescent="0.25">
      <c r="A79" s="2">
        <v>77</v>
      </c>
      <c r="B79" s="10"/>
      <c r="C79" s="3"/>
      <c r="D79" s="5"/>
      <c r="E79" s="8"/>
      <c r="F79" s="6"/>
      <c r="G79" s="3"/>
      <c r="H79" s="6"/>
      <c r="I79" s="4"/>
      <c r="J79" s="6" t="s">
        <v>19</v>
      </c>
      <c r="K79" s="6" t="s">
        <v>19</v>
      </c>
      <c r="L79" s="6" t="s">
        <v>19</v>
      </c>
      <c r="M79" s="6" t="s">
        <v>19</v>
      </c>
      <c r="N79" s="6" t="s">
        <v>19</v>
      </c>
      <c r="O79" s="6" t="s">
        <v>19</v>
      </c>
      <c r="P79" s="6" t="s">
        <v>19</v>
      </c>
      <c r="Q79" s="6" t="s">
        <v>19</v>
      </c>
    </row>
    <row r="80" spans="1:17" x14ac:dyDescent="0.25">
      <c r="A80" s="2">
        <v>78</v>
      </c>
      <c r="B80" s="10"/>
      <c r="C80" s="3"/>
      <c r="D80" s="5"/>
      <c r="E80" s="8"/>
      <c r="F80" s="6"/>
      <c r="G80" s="3"/>
      <c r="H80" s="6"/>
      <c r="I80" s="4"/>
      <c r="J80" s="6" t="s">
        <v>19</v>
      </c>
      <c r="K80" s="6" t="s">
        <v>19</v>
      </c>
      <c r="L80" s="6" t="s">
        <v>19</v>
      </c>
      <c r="M80" s="6" t="s">
        <v>19</v>
      </c>
      <c r="N80" s="6" t="s">
        <v>19</v>
      </c>
      <c r="O80" s="6" t="s">
        <v>19</v>
      </c>
      <c r="P80" s="6" t="s">
        <v>19</v>
      </c>
      <c r="Q80" s="6" t="s">
        <v>19</v>
      </c>
    </row>
    <row r="81" spans="1:17" x14ac:dyDescent="0.25">
      <c r="A81" s="2">
        <v>79</v>
      </c>
      <c r="B81" s="10"/>
      <c r="C81" s="3"/>
      <c r="D81" s="5"/>
      <c r="E81" s="8"/>
      <c r="F81" s="6"/>
      <c r="G81" s="3"/>
      <c r="H81" s="6"/>
      <c r="I81" s="4"/>
      <c r="J81" s="6" t="s">
        <v>19</v>
      </c>
      <c r="K81" s="6" t="s">
        <v>19</v>
      </c>
      <c r="L81" s="6" t="s">
        <v>19</v>
      </c>
      <c r="M81" s="6" t="s">
        <v>19</v>
      </c>
      <c r="N81" s="6" t="s">
        <v>19</v>
      </c>
      <c r="O81" s="6" t="s">
        <v>19</v>
      </c>
      <c r="P81" s="6" t="s">
        <v>19</v>
      </c>
      <c r="Q81" s="6" t="s">
        <v>19</v>
      </c>
    </row>
    <row r="82" spans="1:17" x14ac:dyDescent="0.25">
      <c r="A82" s="2">
        <v>80</v>
      </c>
      <c r="B82" s="10"/>
      <c r="C82" s="3"/>
      <c r="D82" s="5"/>
      <c r="E82" s="8"/>
      <c r="F82" s="6"/>
      <c r="G82" s="3"/>
      <c r="H82" s="6"/>
      <c r="I82" s="4"/>
      <c r="J82" s="6" t="s">
        <v>19</v>
      </c>
      <c r="K82" s="6" t="s">
        <v>19</v>
      </c>
      <c r="L82" s="6" t="s">
        <v>19</v>
      </c>
      <c r="M82" s="6" t="s">
        <v>19</v>
      </c>
      <c r="N82" s="6" t="s">
        <v>19</v>
      </c>
      <c r="O82" s="6" t="s">
        <v>19</v>
      </c>
      <c r="P82" s="6" t="s">
        <v>19</v>
      </c>
      <c r="Q82" s="6" t="s">
        <v>19</v>
      </c>
    </row>
    <row r="83" spans="1:17" x14ac:dyDescent="0.25">
      <c r="A83" s="2">
        <v>81</v>
      </c>
      <c r="B83" s="10"/>
      <c r="C83" s="3"/>
      <c r="D83" s="5"/>
      <c r="E83" s="8"/>
      <c r="F83" s="6"/>
      <c r="G83" s="3"/>
      <c r="H83" s="6"/>
      <c r="I83" s="4"/>
      <c r="J83" s="6" t="s">
        <v>19</v>
      </c>
      <c r="K83" s="6" t="s">
        <v>19</v>
      </c>
      <c r="L83" s="6" t="s">
        <v>19</v>
      </c>
      <c r="M83" s="6" t="s">
        <v>19</v>
      </c>
      <c r="N83" s="6" t="s">
        <v>19</v>
      </c>
      <c r="O83" s="6" t="s">
        <v>19</v>
      </c>
      <c r="P83" s="6" t="s">
        <v>19</v>
      </c>
      <c r="Q83" s="6" t="s">
        <v>19</v>
      </c>
    </row>
    <row r="84" spans="1:17" x14ac:dyDescent="0.25">
      <c r="A84" s="2">
        <v>82</v>
      </c>
      <c r="B84" s="10"/>
      <c r="C84" s="3"/>
      <c r="D84" s="5"/>
      <c r="E84" s="8"/>
      <c r="F84" s="6"/>
      <c r="G84" s="3"/>
      <c r="H84" s="6"/>
      <c r="I84" s="4"/>
      <c r="J84" s="6" t="s">
        <v>19</v>
      </c>
      <c r="K84" s="6" t="s">
        <v>19</v>
      </c>
      <c r="L84" s="6" t="s">
        <v>19</v>
      </c>
      <c r="M84" s="6" t="s">
        <v>19</v>
      </c>
      <c r="N84" s="6" t="s">
        <v>19</v>
      </c>
      <c r="O84" s="6" t="s">
        <v>19</v>
      </c>
      <c r="P84" s="6" t="s">
        <v>19</v>
      </c>
      <c r="Q84" s="6" t="s">
        <v>19</v>
      </c>
    </row>
    <row r="85" spans="1:17" x14ac:dyDescent="0.25">
      <c r="A85" s="2">
        <v>83</v>
      </c>
      <c r="B85" s="10"/>
      <c r="C85" s="3"/>
      <c r="D85" s="5"/>
      <c r="E85" s="8"/>
      <c r="F85" s="6"/>
      <c r="G85" s="3"/>
      <c r="H85" s="6"/>
      <c r="I85" s="4"/>
      <c r="J85" s="6" t="s">
        <v>19</v>
      </c>
      <c r="K85" s="6" t="s">
        <v>19</v>
      </c>
      <c r="L85" s="6" t="s">
        <v>19</v>
      </c>
      <c r="M85" s="6" t="s">
        <v>19</v>
      </c>
      <c r="N85" s="6" t="s">
        <v>19</v>
      </c>
      <c r="O85" s="6" t="s">
        <v>19</v>
      </c>
      <c r="P85" s="6" t="s">
        <v>19</v>
      </c>
      <c r="Q85" s="6" t="s">
        <v>19</v>
      </c>
    </row>
    <row r="86" spans="1:17" x14ac:dyDescent="0.25">
      <c r="A86" s="2">
        <v>84</v>
      </c>
      <c r="B86" s="10"/>
      <c r="C86" s="3"/>
      <c r="D86" s="5"/>
      <c r="E86" s="8"/>
      <c r="F86" s="6"/>
      <c r="G86" s="3"/>
      <c r="H86" s="6"/>
      <c r="I86" s="4"/>
      <c r="J86" s="6" t="s">
        <v>19</v>
      </c>
      <c r="K86" s="6" t="s">
        <v>19</v>
      </c>
      <c r="L86" s="6" t="s">
        <v>19</v>
      </c>
      <c r="M86" s="6" t="s">
        <v>19</v>
      </c>
      <c r="N86" s="6" t="s">
        <v>19</v>
      </c>
      <c r="O86" s="6" t="s">
        <v>19</v>
      </c>
      <c r="P86" s="6" t="s">
        <v>19</v>
      </c>
      <c r="Q86" s="6" t="s">
        <v>19</v>
      </c>
    </row>
    <row r="87" spans="1:17" x14ac:dyDescent="0.25">
      <c r="A87" s="2">
        <v>85</v>
      </c>
      <c r="B87" s="10"/>
      <c r="C87" s="3"/>
      <c r="D87" s="5"/>
      <c r="E87" s="8"/>
      <c r="F87" s="6"/>
      <c r="G87" s="3"/>
      <c r="H87" s="6"/>
      <c r="I87" s="4"/>
      <c r="J87" s="6" t="s">
        <v>19</v>
      </c>
      <c r="K87" s="6" t="s">
        <v>19</v>
      </c>
      <c r="L87" s="6" t="s">
        <v>19</v>
      </c>
      <c r="M87" s="6" t="s">
        <v>19</v>
      </c>
      <c r="N87" s="6" t="s">
        <v>19</v>
      </c>
      <c r="O87" s="6" t="s">
        <v>19</v>
      </c>
      <c r="P87" s="6" t="s">
        <v>19</v>
      </c>
      <c r="Q87" s="6" t="s">
        <v>19</v>
      </c>
    </row>
    <row r="88" spans="1:17" x14ac:dyDescent="0.25">
      <c r="A88" s="2">
        <v>86</v>
      </c>
      <c r="B88" s="10"/>
      <c r="C88" s="3"/>
      <c r="D88" s="5"/>
      <c r="E88" s="8"/>
      <c r="F88" s="6"/>
      <c r="G88" s="3"/>
      <c r="H88" s="6"/>
      <c r="I88" s="4"/>
      <c r="J88" s="6" t="s">
        <v>19</v>
      </c>
      <c r="K88" s="6" t="s">
        <v>19</v>
      </c>
      <c r="L88" s="6" t="s">
        <v>19</v>
      </c>
      <c r="M88" s="6" t="s">
        <v>19</v>
      </c>
      <c r="N88" s="6" t="s">
        <v>19</v>
      </c>
      <c r="O88" s="6" t="s">
        <v>19</v>
      </c>
      <c r="P88" s="6" t="s">
        <v>19</v>
      </c>
      <c r="Q88" s="6" t="s">
        <v>19</v>
      </c>
    </row>
    <row r="89" spans="1:17" x14ac:dyDescent="0.25">
      <c r="A89" s="2">
        <v>87</v>
      </c>
      <c r="B89" s="10"/>
      <c r="C89" s="3"/>
      <c r="D89" s="5"/>
      <c r="E89" s="8"/>
      <c r="F89" s="6"/>
      <c r="G89" s="3"/>
      <c r="H89" s="6"/>
      <c r="I89" s="4"/>
      <c r="J89" s="6" t="s">
        <v>19</v>
      </c>
      <c r="K89" s="6" t="s">
        <v>19</v>
      </c>
      <c r="L89" s="6" t="s">
        <v>19</v>
      </c>
      <c r="M89" s="6" t="s">
        <v>19</v>
      </c>
      <c r="N89" s="6" t="s">
        <v>19</v>
      </c>
      <c r="O89" s="6" t="s">
        <v>19</v>
      </c>
      <c r="P89" s="6" t="s">
        <v>19</v>
      </c>
      <c r="Q89" s="6" t="s">
        <v>19</v>
      </c>
    </row>
    <row r="90" spans="1:17" x14ac:dyDescent="0.25">
      <c r="A90" s="2">
        <v>88</v>
      </c>
      <c r="B90" s="10"/>
      <c r="C90" s="3"/>
      <c r="D90" s="5"/>
      <c r="E90" s="8"/>
      <c r="F90" s="6"/>
      <c r="G90" s="3"/>
      <c r="H90" s="6"/>
      <c r="I90" s="4"/>
      <c r="J90" s="6" t="s">
        <v>19</v>
      </c>
      <c r="K90" s="6" t="s">
        <v>19</v>
      </c>
      <c r="L90" s="6" t="s">
        <v>19</v>
      </c>
      <c r="M90" s="6" t="s">
        <v>19</v>
      </c>
      <c r="N90" s="6" t="s">
        <v>19</v>
      </c>
      <c r="O90" s="6" t="s">
        <v>19</v>
      </c>
      <c r="P90" s="6" t="s">
        <v>19</v>
      </c>
      <c r="Q90" s="6" t="s">
        <v>19</v>
      </c>
    </row>
    <row r="91" spans="1:17" x14ac:dyDescent="0.25">
      <c r="A91" s="2">
        <v>89</v>
      </c>
      <c r="B91" s="10"/>
      <c r="C91" s="3"/>
      <c r="D91" s="5"/>
      <c r="E91" s="8"/>
      <c r="F91" s="6"/>
      <c r="G91" s="3"/>
      <c r="H91" s="6"/>
      <c r="I91" s="4"/>
      <c r="J91" s="6" t="s">
        <v>19</v>
      </c>
      <c r="K91" s="6" t="s">
        <v>19</v>
      </c>
      <c r="L91" s="6" t="s">
        <v>19</v>
      </c>
      <c r="M91" s="6" t="s">
        <v>19</v>
      </c>
      <c r="N91" s="6" t="s">
        <v>19</v>
      </c>
      <c r="O91" s="6" t="s">
        <v>19</v>
      </c>
      <c r="P91" s="6" t="s">
        <v>19</v>
      </c>
      <c r="Q91" s="6" t="s">
        <v>19</v>
      </c>
    </row>
    <row r="92" spans="1:17" x14ac:dyDescent="0.25">
      <c r="A92" s="2">
        <v>90</v>
      </c>
      <c r="B92" s="10"/>
      <c r="C92" s="3"/>
      <c r="D92" s="5"/>
      <c r="E92" s="8"/>
      <c r="F92" s="6"/>
      <c r="G92" s="3"/>
      <c r="H92" s="6"/>
      <c r="I92" s="4"/>
      <c r="J92" s="6" t="s">
        <v>19</v>
      </c>
      <c r="K92" s="6" t="s">
        <v>19</v>
      </c>
      <c r="L92" s="6" t="s">
        <v>19</v>
      </c>
      <c r="M92" s="6" t="s">
        <v>19</v>
      </c>
      <c r="N92" s="6" t="s">
        <v>19</v>
      </c>
      <c r="O92" s="6" t="s">
        <v>19</v>
      </c>
      <c r="P92" s="6" t="s">
        <v>19</v>
      </c>
      <c r="Q92" s="6" t="s">
        <v>19</v>
      </c>
    </row>
    <row r="93" spans="1:17" x14ac:dyDescent="0.25">
      <c r="A93" s="2">
        <v>91</v>
      </c>
      <c r="B93" s="10"/>
      <c r="C93" s="3"/>
      <c r="D93" s="5"/>
      <c r="E93" s="8"/>
      <c r="F93" s="6"/>
      <c r="G93" s="3"/>
      <c r="H93" s="6"/>
      <c r="I93" s="4"/>
      <c r="J93" s="6" t="s">
        <v>19</v>
      </c>
      <c r="K93" s="6" t="s">
        <v>19</v>
      </c>
      <c r="L93" s="6" t="s">
        <v>19</v>
      </c>
      <c r="M93" s="6" t="s">
        <v>19</v>
      </c>
      <c r="N93" s="6" t="s">
        <v>19</v>
      </c>
      <c r="O93" s="6" t="s">
        <v>19</v>
      </c>
      <c r="P93" s="6" t="s">
        <v>19</v>
      </c>
      <c r="Q93" s="6" t="s">
        <v>19</v>
      </c>
    </row>
    <row r="94" spans="1:17" x14ac:dyDescent="0.25">
      <c r="A94" s="2">
        <v>92</v>
      </c>
      <c r="B94" s="10"/>
      <c r="C94" s="3"/>
      <c r="D94" s="5"/>
      <c r="E94" s="8"/>
      <c r="F94" s="6"/>
      <c r="G94" s="3"/>
      <c r="H94" s="6"/>
      <c r="I94" s="4"/>
      <c r="J94" s="6" t="s">
        <v>19</v>
      </c>
      <c r="K94" s="6" t="s">
        <v>19</v>
      </c>
      <c r="L94" s="6" t="s">
        <v>19</v>
      </c>
      <c r="M94" s="6" t="s">
        <v>19</v>
      </c>
      <c r="N94" s="6" t="s">
        <v>19</v>
      </c>
      <c r="O94" s="6" t="s">
        <v>19</v>
      </c>
      <c r="P94" s="6" t="s">
        <v>19</v>
      </c>
      <c r="Q94" s="6" t="s">
        <v>19</v>
      </c>
    </row>
    <row r="95" spans="1:17" x14ac:dyDescent="0.25">
      <c r="A95" s="2">
        <v>93</v>
      </c>
      <c r="B95" s="10"/>
      <c r="C95" s="3"/>
      <c r="D95" s="5"/>
      <c r="E95" s="8"/>
      <c r="F95" s="6"/>
      <c r="G95" s="3"/>
      <c r="H95" s="6"/>
      <c r="I95" s="4"/>
      <c r="J95" s="6" t="s">
        <v>19</v>
      </c>
      <c r="K95" s="6" t="s">
        <v>19</v>
      </c>
      <c r="L95" s="6" t="s">
        <v>19</v>
      </c>
      <c r="M95" s="6" t="s">
        <v>19</v>
      </c>
      <c r="N95" s="6" t="s">
        <v>19</v>
      </c>
      <c r="O95" s="6" t="s">
        <v>19</v>
      </c>
      <c r="P95" s="6" t="s">
        <v>19</v>
      </c>
      <c r="Q95" s="6" t="s">
        <v>19</v>
      </c>
    </row>
    <row r="96" spans="1:17" x14ac:dyDescent="0.25">
      <c r="A96" s="2">
        <v>94</v>
      </c>
      <c r="B96" s="10"/>
      <c r="C96" s="3"/>
      <c r="D96" s="5"/>
      <c r="E96" s="8"/>
      <c r="F96" s="6"/>
      <c r="G96" s="3"/>
      <c r="H96" s="6"/>
      <c r="I96" s="4"/>
      <c r="J96" s="6" t="s">
        <v>19</v>
      </c>
      <c r="K96" s="6" t="s">
        <v>19</v>
      </c>
      <c r="L96" s="6" t="s">
        <v>19</v>
      </c>
      <c r="M96" s="6" t="s">
        <v>19</v>
      </c>
      <c r="N96" s="6" t="s">
        <v>19</v>
      </c>
      <c r="O96" s="6" t="s">
        <v>19</v>
      </c>
      <c r="P96" s="6" t="s">
        <v>19</v>
      </c>
      <c r="Q96" s="6" t="s">
        <v>19</v>
      </c>
    </row>
    <row r="97" spans="1:17" x14ac:dyDescent="0.25">
      <c r="A97" s="2">
        <v>95</v>
      </c>
      <c r="B97" s="10"/>
      <c r="C97" s="3"/>
      <c r="D97" s="5"/>
      <c r="E97" s="8"/>
      <c r="F97" s="6"/>
      <c r="G97" s="3"/>
      <c r="H97" s="6"/>
      <c r="I97" s="4"/>
      <c r="J97" s="6" t="s">
        <v>19</v>
      </c>
      <c r="K97" s="6" t="s">
        <v>19</v>
      </c>
      <c r="L97" s="6" t="s">
        <v>19</v>
      </c>
      <c r="M97" s="6" t="s">
        <v>19</v>
      </c>
      <c r="N97" s="6" t="s">
        <v>19</v>
      </c>
      <c r="O97" s="6" t="s">
        <v>19</v>
      </c>
      <c r="P97" s="6" t="s">
        <v>19</v>
      </c>
      <c r="Q97" s="6" t="s">
        <v>19</v>
      </c>
    </row>
    <row r="98" spans="1:17" x14ac:dyDescent="0.25">
      <c r="A98" s="2">
        <v>96</v>
      </c>
      <c r="B98" s="10"/>
      <c r="C98" s="3"/>
      <c r="D98" s="5"/>
      <c r="E98" s="8"/>
      <c r="F98" s="6"/>
      <c r="G98" s="3"/>
      <c r="H98" s="6"/>
      <c r="I98" s="4"/>
      <c r="J98" s="6" t="s">
        <v>19</v>
      </c>
      <c r="K98" s="6" t="s">
        <v>19</v>
      </c>
      <c r="L98" s="6" t="s">
        <v>19</v>
      </c>
      <c r="M98" s="6" t="s">
        <v>19</v>
      </c>
      <c r="N98" s="6" t="s">
        <v>19</v>
      </c>
      <c r="O98" s="6" t="s">
        <v>19</v>
      </c>
      <c r="P98" s="6" t="s">
        <v>19</v>
      </c>
      <c r="Q98" s="6" t="s">
        <v>19</v>
      </c>
    </row>
    <row r="99" spans="1:17" x14ac:dyDescent="0.25">
      <c r="A99" s="2">
        <v>97</v>
      </c>
      <c r="B99" s="10"/>
      <c r="C99" s="3"/>
      <c r="D99" s="5"/>
      <c r="E99" s="8"/>
      <c r="F99" s="6"/>
      <c r="G99" s="3"/>
      <c r="H99" s="6"/>
      <c r="I99" s="4"/>
      <c r="J99" s="6" t="s">
        <v>19</v>
      </c>
      <c r="K99" s="6" t="s">
        <v>19</v>
      </c>
      <c r="L99" s="6" t="s">
        <v>19</v>
      </c>
      <c r="M99" s="6" t="s">
        <v>19</v>
      </c>
      <c r="N99" s="6" t="s">
        <v>19</v>
      </c>
      <c r="O99" s="6" t="s">
        <v>19</v>
      </c>
      <c r="P99" s="6" t="s">
        <v>19</v>
      </c>
      <c r="Q99" s="6" t="s">
        <v>19</v>
      </c>
    </row>
    <row r="100" spans="1:17" x14ac:dyDescent="0.25">
      <c r="A100" s="2">
        <v>98</v>
      </c>
      <c r="B100" s="10"/>
      <c r="C100" s="3"/>
      <c r="D100" s="5"/>
      <c r="E100" s="8"/>
      <c r="F100" s="6"/>
      <c r="G100" s="3"/>
      <c r="H100" s="6"/>
      <c r="I100" s="4"/>
      <c r="J100" s="6" t="s">
        <v>19</v>
      </c>
      <c r="K100" s="6" t="s">
        <v>19</v>
      </c>
      <c r="L100" s="6" t="s">
        <v>19</v>
      </c>
      <c r="M100" s="6" t="s">
        <v>19</v>
      </c>
      <c r="N100" s="6" t="s">
        <v>19</v>
      </c>
      <c r="O100" s="6" t="s">
        <v>19</v>
      </c>
      <c r="P100" s="6" t="s">
        <v>19</v>
      </c>
      <c r="Q100" s="6" t="s">
        <v>19</v>
      </c>
    </row>
    <row r="101" spans="1:17" x14ac:dyDescent="0.25">
      <c r="A101" s="2">
        <v>99</v>
      </c>
      <c r="B101" s="10"/>
      <c r="C101" s="3"/>
      <c r="D101" s="5"/>
      <c r="E101" s="8"/>
      <c r="F101" s="6"/>
      <c r="G101" s="3"/>
      <c r="H101" s="6"/>
      <c r="I101" s="4"/>
      <c r="J101" s="6" t="s">
        <v>19</v>
      </c>
      <c r="K101" s="6" t="s">
        <v>19</v>
      </c>
      <c r="L101" s="6" t="s">
        <v>19</v>
      </c>
      <c r="M101" s="6" t="s">
        <v>19</v>
      </c>
      <c r="N101" s="6" t="s">
        <v>19</v>
      </c>
      <c r="O101" s="6" t="s">
        <v>19</v>
      </c>
      <c r="P101" s="6" t="s">
        <v>19</v>
      </c>
      <c r="Q101" s="6" t="s">
        <v>19</v>
      </c>
    </row>
    <row r="102" spans="1:17" x14ac:dyDescent="0.25">
      <c r="A102" s="2">
        <v>100</v>
      </c>
      <c r="B102" s="10"/>
      <c r="C102" s="3"/>
      <c r="D102" s="5"/>
      <c r="E102" s="8"/>
      <c r="F102" s="6"/>
      <c r="G102" s="3"/>
      <c r="H102" s="6"/>
      <c r="I102" s="4"/>
      <c r="J102" s="6" t="s">
        <v>19</v>
      </c>
      <c r="K102" s="6" t="s">
        <v>19</v>
      </c>
      <c r="L102" s="6" t="s">
        <v>19</v>
      </c>
      <c r="M102" s="6" t="s">
        <v>19</v>
      </c>
      <c r="N102" s="6" t="s">
        <v>19</v>
      </c>
      <c r="O102" s="6" t="s">
        <v>19</v>
      </c>
      <c r="P102" s="6" t="s">
        <v>19</v>
      </c>
      <c r="Q102" s="6" t="s">
        <v>19</v>
      </c>
    </row>
    <row r="103" spans="1:17" x14ac:dyDescent="0.25">
      <c r="A103" s="2">
        <v>101</v>
      </c>
      <c r="B103" s="10"/>
      <c r="C103" s="3"/>
      <c r="D103" s="5"/>
      <c r="E103" s="8"/>
      <c r="F103" s="6"/>
      <c r="G103" s="3"/>
      <c r="H103" s="6"/>
      <c r="I103" s="4"/>
      <c r="J103" s="6" t="s">
        <v>19</v>
      </c>
      <c r="K103" s="6" t="s">
        <v>19</v>
      </c>
      <c r="L103" s="6" t="s">
        <v>19</v>
      </c>
      <c r="M103" s="6" t="s">
        <v>19</v>
      </c>
      <c r="N103" s="6" t="s">
        <v>19</v>
      </c>
      <c r="O103" s="6" t="s">
        <v>19</v>
      </c>
      <c r="P103" s="6" t="s">
        <v>19</v>
      </c>
      <c r="Q103" s="6" t="s">
        <v>19</v>
      </c>
    </row>
    <row r="104" spans="1:17" x14ac:dyDescent="0.25">
      <c r="A104" s="2">
        <v>102</v>
      </c>
      <c r="B104" s="10"/>
      <c r="C104" s="3"/>
      <c r="D104" s="5"/>
      <c r="E104" s="8"/>
      <c r="F104" s="6"/>
      <c r="G104" s="3"/>
      <c r="H104" s="6"/>
      <c r="I104" s="4"/>
      <c r="J104" s="6" t="s">
        <v>19</v>
      </c>
      <c r="K104" s="6" t="s">
        <v>19</v>
      </c>
      <c r="L104" s="6" t="s">
        <v>19</v>
      </c>
      <c r="M104" s="6" t="s">
        <v>19</v>
      </c>
      <c r="N104" s="6" t="s">
        <v>19</v>
      </c>
      <c r="O104" s="6" t="s">
        <v>19</v>
      </c>
      <c r="P104" s="6" t="s">
        <v>19</v>
      </c>
      <c r="Q104" s="6" t="s">
        <v>19</v>
      </c>
    </row>
    <row r="105" spans="1:17" x14ac:dyDescent="0.25">
      <c r="A105" s="2">
        <v>103</v>
      </c>
      <c r="B105" s="10"/>
      <c r="C105" s="3"/>
      <c r="D105" s="5"/>
      <c r="E105" s="8"/>
      <c r="F105" s="6"/>
      <c r="G105" s="3"/>
      <c r="H105" s="6"/>
      <c r="I105" s="4"/>
      <c r="J105" s="6" t="s">
        <v>19</v>
      </c>
      <c r="K105" s="6" t="s">
        <v>19</v>
      </c>
      <c r="L105" s="6" t="s">
        <v>19</v>
      </c>
      <c r="M105" s="6" t="s">
        <v>19</v>
      </c>
      <c r="N105" s="6" t="s">
        <v>19</v>
      </c>
      <c r="O105" s="6" t="s">
        <v>19</v>
      </c>
      <c r="P105" s="6" t="s">
        <v>19</v>
      </c>
      <c r="Q105" s="6" t="s">
        <v>19</v>
      </c>
    </row>
    <row r="106" spans="1:17" x14ac:dyDescent="0.25">
      <c r="A106" s="2">
        <v>104</v>
      </c>
      <c r="B106" s="10"/>
      <c r="C106" s="3"/>
      <c r="D106" s="5"/>
      <c r="E106" s="8"/>
      <c r="F106" s="6"/>
      <c r="G106" s="3"/>
      <c r="H106" s="6"/>
      <c r="I106" s="4"/>
      <c r="J106" s="6" t="s">
        <v>19</v>
      </c>
      <c r="K106" s="6" t="s">
        <v>19</v>
      </c>
      <c r="L106" s="6" t="s">
        <v>19</v>
      </c>
      <c r="M106" s="6" t="s">
        <v>19</v>
      </c>
      <c r="N106" s="6" t="s">
        <v>19</v>
      </c>
      <c r="O106" s="6" t="s">
        <v>19</v>
      </c>
      <c r="P106" s="6" t="s">
        <v>19</v>
      </c>
      <c r="Q106" s="6" t="s">
        <v>19</v>
      </c>
    </row>
    <row r="107" spans="1:17" x14ac:dyDescent="0.25">
      <c r="A107" s="2">
        <v>105</v>
      </c>
      <c r="B107" s="10"/>
      <c r="C107" s="3"/>
      <c r="D107" s="5"/>
      <c r="E107" s="8"/>
      <c r="F107" s="6"/>
      <c r="G107" s="3"/>
      <c r="H107" s="6"/>
      <c r="I107" s="4"/>
      <c r="J107" s="6" t="s">
        <v>19</v>
      </c>
      <c r="K107" s="6" t="s">
        <v>19</v>
      </c>
      <c r="L107" s="6" t="s">
        <v>19</v>
      </c>
      <c r="M107" s="6" t="s">
        <v>19</v>
      </c>
      <c r="N107" s="6" t="s">
        <v>19</v>
      </c>
      <c r="O107" s="6" t="s">
        <v>19</v>
      </c>
      <c r="P107" s="6" t="s">
        <v>19</v>
      </c>
      <c r="Q107" s="6" t="s">
        <v>19</v>
      </c>
    </row>
    <row r="108" spans="1:17" x14ac:dyDescent="0.25">
      <c r="A108" s="2">
        <v>106</v>
      </c>
      <c r="B108" s="10"/>
      <c r="C108" s="3"/>
      <c r="D108" s="5"/>
      <c r="E108" s="8"/>
      <c r="F108" s="6"/>
      <c r="G108" s="3"/>
      <c r="H108" s="6"/>
      <c r="I108" s="4"/>
      <c r="J108" s="6" t="s">
        <v>19</v>
      </c>
      <c r="K108" s="6" t="s">
        <v>19</v>
      </c>
      <c r="L108" s="6" t="s">
        <v>19</v>
      </c>
      <c r="M108" s="6" t="s">
        <v>19</v>
      </c>
      <c r="N108" s="6" t="s">
        <v>19</v>
      </c>
      <c r="O108" s="6" t="s">
        <v>19</v>
      </c>
      <c r="P108" s="6" t="s">
        <v>19</v>
      </c>
      <c r="Q108" s="6" t="s">
        <v>19</v>
      </c>
    </row>
    <row r="109" spans="1:17" x14ac:dyDescent="0.25">
      <c r="A109" s="2">
        <v>107</v>
      </c>
      <c r="B109" s="10"/>
      <c r="C109" s="3"/>
      <c r="D109" s="5"/>
      <c r="E109" s="8"/>
      <c r="F109" s="6"/>
      <c r="G109" s="3"/>
      <c r="H109" s="6"/>
      <c r="I109" s="4"/>
      <c r="J109" s="6" t="s">
        <v>19</v>
      </c>
      <c r="K109" s="6" t="s">
        <v>19</v>
      </c>
      <c r="L109" s="6" t="s">
        <v>19</v>
      </c>
      <c r="M109" s="6" t="s">
        <v>19</v>
      </c>
      <c r="N109" s="6" t="s">
        <v>19</v>
      </c>
      <c r="O109" s="6" t="s">
        <v>19</v>
      </c>
      <c r="P109" s="6" t="s">
        <v>19</v>
      </c>
      <c r="Q109" s="6" t="s">
        <v>19</v>
      </c>
    </row>
    <row r="110" spans="1:17" x14ac:dyDescent="0.25">
      <c r="A110" s="2">
        <v>108</v>
      </c>
      <c r="B110" s="10"/>
      <c r="C110" s="3"/>
      <c r="D110" s="5"/>
      <c r="E110" s="8"/>
      <c r="F110" s="6"/>
      <c r="G110" s="3"/>
      <c r="H110" s="6"/>
      <c r="I110" s="4"/>
      <c r="J110" s="6" t="s">
        <v>19</v>
      </c>
      <c r="K110" s="6" t="s">
        <v>19</v>
      </c>
      <c r="L110" s="6" t="s">
        <v>19</v>
      </c>
      <c r="M110" s="6" t="s">
        <v>19</v>
      </c>
      <c r="N110" s="6" t="s">
        <v>19</v>
      </c>
      <c r="O110" s="6" t="s">
        <v>19</v>
      </c>
      <c r="P110" s="6" t="s">
        <v>19</v>
      </c>
      <c r="Q110" s="6" t="s">
        <v>19</v>
      </c>
    </row>
    <row r="111" spans="1:17" x14ac:dyDescent="0.25">
      <c r="A111" s="2">
        <v>109</v>
      </c>
      <c r="B111" s="10"/>
      <c r="C111" s="3"/>
      <c r="D111" s="5"/>
      <c r="E111" s="8"/>
      <c r="F111" s="6"/>
      <c r="G111" s="3"/>
      <c r="H111" s="6"/>
      <c r="I111" s="4"/>
      <c r="J111" s="6" t="s">
        <v>19</v>
      </c>
      <c r="K111" s="6" t="s">
        <v>19</v>
      </c>
      <c r="L111" s="6" t="s">
        <v>19</v>
      </c>
      <c r="M111" s="6" t="s">
        <v>19</v>
      </c>
      <c r="N111" s="6" t="s">
        <v>19</v>
      </c>
      <c r="O111" s="6" t="s">
        <v>19</v>
      </c>
      <c r="P111" s="6" t="s">
        <v>19</v>
      </c>
      <c r="Q111" s="6" t="s">
        <v>19</v>
      </c>
    </row>
    <row r="112" spans="1:17" x14ac:dyDescent="0.25">
      <c r="A112" s="2">
        <v>110</v>
      </c>
      <c r="B112" s="10"/>
      <c r="C112" s="3"/>
      <c r="D112" s="5"/>
      <c r="E112" s="8"/>
      <c r="F112" s="6"/>
      <c r="G112" s="3"/>
      <c r="H112" s="6"/>
      <c r="I112" s="4"/>
      <c r="J112" s="6" t="s">
        <v>19</v>
      </c>
      <c r="K112" s="6" t="s">
        <v>19</v>
      </c>
      <c r="L112" s="6" t="s">
        <v>19</v>
      </c>
      <c r="M112" s="6" t="s">
        <v>19</v>
      </c>
      <c r="N112" s="6" t="s">
        <v>19</v>
      </c>
      <c r="O112" s="6" t="s">
        <v>19</v>
      </c>
      <c r="P112" s="6" t="s">
        <v>19</v>
      </c>
      <c r="Q112" s="6" t="s">
        <v>19</v>
      </c>
    </row>
    <row r="113" spans="1:17" x14ac:dyDescent="0.25">
      <c r="A113" s="2">
        <v>111</v>
      </c>
      <c r="B113" s="10"/>
      <c r="C113" s="3"/>
      <c r="D113" s="5"/>
      <c r="E113" s="8"/>
      <c r="F113" s="6"/>
      <c r="G113" s="3"/>
      <c r="H113" s="6"/>
      <c r="I113" s="4"/>
      <c r="J113" s="6" t="s">
        <v>19</v>
      </c>
      <c r="K113" s="6" t="s">
        <v>19</v>
      </c>
      <c r="L113" s="6" t="s">
        <v>19</v>
      </c>
      <c r="M113" s="6" t="s">
        <v>19</v>
      </c>
      <c r="N113" s="6" t="s">
        <v>19</v>
      </c>
      <c r="O113" s="6" t="s">
        <v>19</v>
      </c>
      <c r="P113" s="6" t="s">
        <v>19</v>
      </c>
      <c r="Q113" s="6" t="s">
        <v>19</v>
      </c>
    </row>
    <row r="114" spans="1:17" x14ac:dyDescent="0.25">
      <c r="A114" s="2">
        <v>112</v>
      </c>
      <c r="B114" s="10"/>
      <c r="C114" s="3"/>
      <c r="D114" s="5"/>
      <c r="E114" s="8"/>
      <c r="F114" s="6"/>
      <c r="G114" s="3"/>
      <c r="H114" s="6"/>
      <c r="I114" s="4"/>
      <c r="J114" s="6" t="s">
        <v>19</v>
      </c>
      <c r="K114" s="6" t="s">
        <v>19</v>
      </c>
      <c r="L114" s="6" t="s">
        <v>19</v>
      </c>
      <c r="M114" s="6" t="s">
        <v>19</v>
      </c>
      <c r="N114" s="6" t="s">
        <v>19</v>
      </c>
      <c r="O114" s="6" t="s">
        <v>19</v>
      </c>
      <c r="P114" s="6" t="s">
        <v>19</v>
      </c>
      <c r="Q114" s="6" t="s">
        <v>19</v>
      </c>
    </row>
    <row r="115" spans="1:17" x14ac:dyDescent="0.25">
      <c r="A115" s="2">
        <v>113</v>
      </c>
      <c r="B115" s="10"/>
      <c r="C115" s="3"/>
      <c r="D115" s="5"/>
      <c r="E115" s="8"/>
      <c r="F115" s="6"/>
      <c r="G115" s="3"/>
      <c r="H115" s="6"/>
      <c r="I115" s="4"/>
      <c r="J115" s="6" t="s">
        <v>19</v>
      </c>
      <c r="K115" s="6" t="s">
        <v>19</v>
      </c>
      <c r="L115" s="6" t="s">
        <v>19</v>
      </c>
      <c r="M115" s="6" t="s">
        <v>19</v>
      </c>
      <c r="N115" s="6" t="s">
        <v>19</v>
      </c>
      <c r="O115" s="6" t="s">
        <v>19</v>
      </c>
      <c r="P115" s="6" t="s">
        <v>19</v>
      </c>
      <c r="Q115" s="6" t="s">
        <v>19</v>
      </c>
    </row>
    <row r="116" spans="1:17" x14ac:dyDescent="0.25">
      <c r="A116" s="2">
        <v>114</v>
      </c>
      <c r="B116" s="10"/>
      <c r="C116" s="3"/>
      <c r="D116" s="5"/>
      <c r="E116" s="8"/>
      <c r="F116" s="6"/>
      <c r="G116" s="3"/>
      <c r="H116" s="6"/>
      <c r="I116" s="4"/>
      <c r="J116" s="6" t="s">
        <v>19</v>
      </c>
      <c r="K116" s="6" t="s">
        <v>19</v>
      </c>
      <c r="L116" s="6" t="s">
        <v>19</v>
      </c>
      <c r="M116" s="6" t="s">
        <v>19</v>
      </c>
      <c r="N116" s="6" t="s">
        <v>19</v>
      </c>
      <c r="O116" s="6" t="s">
        <v>19</v>
      </c>
      <c r="P116" s="6" t="s">
        <v>19</v>
      </c>
      <c r="Q116" s="6" t="s">
        <v>19</v>
      </c>
    </row>
    <row r="117" spans="1:17" x14ac:dyDescent="0.25">
      <c r="A117" s="2">
        <v>115</v>
      </c>
      <c r="B117" s="10"/>
      <c r="C117" s="3"/>
      <c r="D117" s="5"/>
      <c r="E117" s="8"/>
      <c r="F117" s="6"/>
      <c r="G117" s="3"/>
      <c r="H117" s="6"/>
      <c r="I117" s="4"/>
      <c r="J117" s="6" t="s">
        <v>19</v>
      </c>
      <c r="K117" s="6" t="s">
        <v>19</v>
      </c>
      <c r="L117" s="6" t="s">
        <v>19</v>
      </c>
      <c r="M117" s="6" t="s">
        <v>19</v>
      </c>
      <c r="N117" s="6" t="s">
        <v>19</v>
      </c>
      <c r="O117" s="6" t="s">
        <v>19</v>
      </c>
      <c r="P117" s="6" t="s">
        <v>19</v>
      </c>
      <c r="Q117" s="6" t="s">
        <v>19</v>
      </c>
    </row>
    <row r="118" spans="1:17" x14ac:dyDescent="0.25">
      <c r="A118" s="2">
        <v>116</v>
      </c>
      <c r="B118" s="10"/>
      <c r="C118" s="3"/>
      <c r="D118" s="5"/>
      <c r="E118" s="8"/>
      <c r="F118" s="6"/>
      <c r="G118" s="3"/>
      <c r="H118" s="6"/>
      <c r="I118" s="4"/>
      <c r="J118" s="6" t="s">
        <v>19</v>
      </c>
      <c r="K118" s="6" t="s">
        <v>19</v>
      </c>
      <c r="L118" s="6" t="s">
        <v>19</v>
      </c>
      <c r="M118" s="6" t="s">
        <v>19</v>
      </c>
      <c r="N118" s="6" t="s">
        <v>19</v>
      </c>
      <c r="O118" s="6" t="s">
        <v>19</v>
      </c>
      <c r="P118" s="6" t="s">
        <v>19</v>
      </c>
      <c r="Q118" s="6" t="s">
        <v>19</v>
      </c>
    </row>
    <row r="119" spans="1:17" x14ac:dyDescent="0.25">
      <c r="A119" s="2">
        <v>117</v>
      </c>
      <c r="B119" s="10"/>
      <c r="C119" s="3"/>
      <c r="D119" s="5"/>
      <c r="E119" s="8"/>
      <c r="F119" s="6"/>
      <c r="G119" s="3"/>
      <c r="H119" s="6"/>
      <c r="I119" s="4"/>
      <c r="J119" s="6" t="s">
        <v>19</v>
      </c>
      <c r="K119" s="6" t="s">
        <v>19</v>
      </c>
      <c r="L119" s="6" t="s">
        <v>19</v>
      </c>
      <c r="M119" s="6" t="s">
        <v>19</v>
      </c>
      <c r="N119" s="6" t="s">
        <v>19</v>
      </c>
      <c r="O119" s="6" t="s">
        <v>19</v>
      </c>
      <c r="P119" s="6" t="s">
        <v>19</v>
      </c>
      <c r="Q119" s="6" t="s">
        <v>19</v>
      </c>
    </row>
    <row r="120" spans="1:17" x14ac:dyDescent="0.25">
      <c r="A120" s="2">
        <v>118</v>
      </c>
      <c r="B120" s="9"/>
      <c r="C120" s="3"/>
      <c r="D120" s="5"/>
      <c r="E120" s="8"/>
      <c r="F120" s="6"/>
      <c r="G120" s="3"/>
      <c r="H120" s="6"/>
      <c r="I120" s="4"/>
      <c r="J120" s="6" t="s">
        <v>19</v>
      </c>
      <c r="K120" s="6" t="s">
        <v>19</v>
      </c>
      <c r="L120" s="6" t="s">
        <v>19</v>
      </c>
      <c r="M120" s="6" t="s">
        <v>19</v>
      </c>
      <c r="N120" s="6" t="s">
        <v>19</v>
      </c>
      <c r="O120" s="6" t="s">
        <v>19</v>
      </c>
      <c r="P120" s="6" t="s">
        <v>19</v>
      </c>
      <c r="Q120" s="6" t="s">
        <v>19</v>
      </c>
    </row>
    <row r="121" spans="1:17" x14ac:dyDescent="0.25">
      <c r="A121" s="2">
        <v>119</v>
      </c>
      <c r="B121" s="10"/>
      <c r="C121" s="3"/>
      <c r="D121" s="5"/>
      <c r="E121" s="8"/>
      <c r="F121" s="6"/>
      <c r="G121" s="3"/>
      <c r="H121" s="6"/>
      <c r="I121" s="4"/>
      <c r="J121" s="6" t="s">
        <v>19</v>
      </c>
      <c r="K121" s="6" t="s">
        <v>19</v>
      </c>
      <c r="L121" s="6" t="s">
        <v>19</v>
      </c>
      <c r="M121" s="6" t="s">
        <v>19</v>
      </c>
      <c r="N121" s="6" t="s">
        <v>19</v>
      </c>
      <c r="O121" s="6" t="s">
        <v>19</v>
      </c>
      <c r="P121" s="6" t="s">
        <v>19</v>
      </c>
      <c r="Q121" s="6" t="s">
        <v>19</v>
      </c>
    </row>
    <row r="122" spans="1:17" x14ac:dyDescent="0.25">
      <c r="A122" s="2">
        <v>120</v>
      </c>
      <c r="B122" s="10"/>
      <c r="C122" s="3"/>
      <c r="D122" s="5"/>
      <c r="E122" s="8"/>
      <c r="F122" s="6"/>
      <c r="G122" s="3"/>
      <c r="H122" s="6"/>
      <c r="I122" s="4"/>
      <c r="J122" s="6" t="s">
        <v>19</v>
      </c>
      <c r="K122" s="6" t="s">
        <v>19</v>
      </c>
      <c r="L122" s="6" t="s">
        <v>19</v>
      </c>
      <c r="M122" s="6" t="s">
        <v>19</v>
      </c>
      <c r="N122" s="6" t="s">
        <v>19</v>
      </c>
      <c r="O122" s="6" t="s">
        <v>19</v>
      </c>
      <c r="P122" s="6" t="s">
        <v>19</v>
      </c>
      <c r="Q122" s="6" t="s">
        <v>19</v>
      </c>
    </row>
    <row r="123" spans="1:17" x14ac:dyDescent="0.25">
      <c r="A123" s="2">
        <v>121</v>
      </c>
      <c r="B123" s="10"/>
      <c r="C123" s="3"/>
      <c r="D123" s="5"/>
      <c r="E123" s="8"/>
      <c r="F123" s="6"/>
      <c r="G123" s="3"/>
      <c r="H123" s="6"/>
      <c r="I123" s="4"/>
      <c r="J123" s="6" t="s">
        <v>19</v>
      </c>
      <c r="K123" s="6" t="s">
        <v>19</v>
      </c>
      <c r="L123" s="6" t="s">
        <v>19</v>
      </c>
      <c r="M123" s="6" t="s">
        <v>19</v>
      </c>
      <c r="N123" s="6" t="s">
        <v>19</v>
      </c>
      <c r="O123" s="6" t="s">
        <v>19</v>
      </c>
      <c r="P123" s="6" t="s">
        <v>19</v>
      </c>
      <c r="Q123" s="6" t="s">
        <v>19</v>
      </c>
    </row>
    <row r="124" spans="1:17" x14ac:dyDescent="0.25">
      <c r="A124" s="2">
        <v>122</v>
      </c>
      <c r="B124" s="10"/>
      <c r="C124" s="3"/>
      <c r="D124" s="5"/>
      <c r="E124" s="8"/>
      <c r="F124" s="6"/>
      <c r="G124" s="3"/>
      <c r="H124" s="6"/>
      <c r="I124" s="4"/>
      <c r="J124" s="6" t="s">
        <v>19</v>
      </c>
      <c r="K124" s="6" t="s">
        <v>19</v>
      </c>
      <c r="L124" s="6" t="s">
        <v>19</v>
      </c>
      <c r="M124" s="6" t="s">
        <v>19</v>
      </c>
      <c r="N124" s="6" t="s">
        <v>19</v>
      </c>
      <c r="O124" s="6" t="s">
        <v>19</v>
      </c>
      <c r="P124" s="6" t="s">
        <v>19</v>
      </c>
      <c r="Q124" s="6" t="s">
        <v>19</v>
      </c>
    </row>
    <row r="125" spans="1:17" x14ac:dyDescent="0.25">
      <c r="A125" s="2">
        <v>123</v>
      </c>
      <c r="B125" s="10"/>
      <c r="C125" s="3"/>
      <c r="D125" s="5"/>
      <c r="E125" s="8"/>
      <c r="F125" s="6"/>
      <c r="G125" s="3"/>
      <c r="H125" s="6"/>
      <c r="I125" s="4"/>
      <c r="J125" s="6" t="s">
        <v>19</v>
      </c>
      <c r="K125" s="6" t="s">
        <v>19</v>
      </c>
      <c r="L125" s="6" t="s">
        <v>19</v>
      </c>
      <c r="M125" s="6" t="s">
        <v>19</v>
      </c>
      <c r="N125" s="6" t="s">
        <v>19</v>
      </c>
      <c r="O125" s="6" t="s">
        <v>19</v>
      </c>
      <c r="P125" s="6" t="s">
        <v>19</v>
      </c>
      <c r="Q125" s="6" t="s">
        <v>19</v>
      </c>
    </row>
    <row r="126" spans="1:17" x14ac:dyDescent="0.25">
      <c r="A126" s="2">
        <v>124</v>
      </c>
      <c r="B126" s="10"/>
      <c r="C126" s="3"/>
      <c r="D126" s="5"/>
      <c r="E126" s="8"/>
      <c r="F126" s="6"/>
      <c r="G126" s="3"/>
      <c r="H126" s="6"/>
      <c r="I126" s="4"/>
      <c r="J126" s="6" t="s">
        <v>19</v>
      </c>
      <c r="K126" s="6" t="s">
        <v>19</v>
      </c>
      <c r="L126" s="6" t="s">
        <v>19</v>
      </c>
      <c r="M126" s="6" t="s">
        <v>19</v>
      </c>
      <c r="N126" s="6" t="s">
        <v>19</v>
      </c>
      <c r="O126" s="6" t="s">
        <v>19</v>
      </c>
      <c r="P126" s="6" t="s">
        <v>19</v>
      </c>
      <c r="Q126" s="6" t="s">
        <v>19</v>
      </c>
    </row>
    <row r="127" spans="1:17" x14ac:dyDescent="0.25">
      <c r="A127" s="2">
        <v>125</v>
      </c>
      <c r="B127" s="10"/>
      <c r="C127" s="3"/>
      <c r="D127" s="5"/>
      <c r="E127" s="8"/>
      <c r="F127" s="6"/>
      <c r="G127" s="3"/>
      <c r="H127" s="6"/>
      <c r="I127" s="4"/>
      <c r="J127" s="6" t="s">
        <v>19</v>
      </c>
      <c r="K127" s="6" t="s">
        <v>19</v>
      </c>
      <c r="L127" s="6" t="s">
        <v>19</v>
      </c>
      <c r="M127" s="6" t="s">
        <v>19</v>
      </c>
      <c r="N127" s="6" t="s">
        <v>19</v>
      </c>
      <c r="O127" s="6" t="s">
        <v>19</v>
      </c>
      <c r="P127" s="6" t="s">
        <v>19</v>
      </c>
      <c r="Q127" s="6" t="s">
        <v>19</v>
      </c>
    </row>
    <row r="128" spans="1:17" x14ac:dyDescent="0.25">
      <c r="A128" s="2">
        <v>126</v>
      </c>
      <c r="B128" s="10"/>
      <c r="C128" s="3"/>
      <c r="D128" s="5"/>
      <c r="E128" s="8"/>
      <c r="F128" s="6"/>
      <c r="G128" s="3"/>
      <c r="H128" s="6"/>
      <c r="I128" s="4"/>
      <c r="J128" s="6" t="s">
        <v>19</v>
      </c>
      <c r="K128" s="6" t="s">
        <v>19</v>
      </c>
      <c r="L128" s="6" t="s">
        <v>19</v>
      </c>
      <c r="M128" s="6" t="s">
        <v>19</v>
      </c>
      <c r="N128" s="6" t="s">
        <v>19</v>
      </c>
      <c r="O128" s="6" t="s">
        <v>19</v>
      </c>
      <c r="P128" s="6" t="s">
        <v>19</v>
      </c>
      <c r="Q128" s="6" t="s">
        <v>19</v>
      </c>
    </row>
    <row r="129" spans="1:8" x14ac:dyDescent="0.25">
      <c r="A129" s="27">
        <v>127</v>
      </c>
      <c r="B129" s="10"/>
      <c r="C129" s="28"/>
      <c r="D129" s="29"/>
      <c r="E129" s="7"/>
      <c r="F129" s="6"/>
      <c r="G129" s="7"/>
      <c r="H129" s="30"/>
    </row>
    <row r="130" spans="1:8" x14ac:dyDescent="0.25">
      <c r="A130" s="27">
        <v>128</v>
      </c>
      <c r="B130" s="11"/>
      <c r="C130" s="28"/>
      <c r="D130" s="29"/>
      <c r="F130" s="6"/>
      <c r="G130" s="7"/>
      <c r="H130" s="30"/>
    </row>
    <row r="131" spans="1:8" x14ac:dyDescent="0.25">
      <c r="A131" s="27">
        <v>129</v>
      </c>
      <c r="B131" s="11"/>
      <c r="C131" s="28"/>
      <c r="D131" s="29"/>
      <c r="F131" s="6"/>
      <c r="G131" s="28"/>
      <c r="H131" s="30"/>
    </row>
    <row r="132" spans="1:8" x14ac:dyDescent="0.25">
      <c r="A132" s="27">
        <v>130</v>
      </c>
      <c r="B132" s="11"/>
      <c r="C132" s="28"/>
      <c r="D132" s="29"/>
      <c r="F132" s="30"/>
      <c r="G132" s="7"/>
      <c r="H132" s="30"/>
    </row>
    <row r="133" spans="1:8" x14ac:dyDescent="0.25">
      <c r="A133" s="27">
        <v>131</v>
      </c>
      <c r="B133" s="11"/>
      <c r="C133" s="28"/>
      <c r="D133" s="29"/>
      <c r="F133" s="30"/>
      <c r="G133" s="7"/>
      <c r="H133" s="30"/>
    </row>
    <row r="134" spans="1:8" x14ac:dyDescent="0.25">
      <c r="A134" s="27">
        <v>132</v>
      </c>
      <c r="B134" s="11"/>
      <c r="C134" s="3"/>
      <c r="D134" s="29"/>
      <c r="F134" s="30"/>
      <c r="G134" s="3"/>
      <c r="H134" s="6"/>
    </row>
    <row r="135" spans="1:8" x14ac:dyDescent="0.25">
      <c r="A135" s="27">
        <v>133</v>
      </c>
      <c r="B135" s="11"/>
      <c r="C135" s="3"/>
      <c r="D135" s="29"/>
      <c r="F135" s="30"/>
      <c r="G135" s="3"/>
      <c r="H135" s="6"/>
    </row>
    <row r="136" spans="1:8" x14ac:dyDescent="0.25">
      <c r="A136" s="27">
        <v>134</v>
      </c>
      <c r="B136" s="11"/>
      <c r="C136" s="3"/>
      <c r="D136" s="29"/>
      <c r="F136" s="30"/>
      <c r="G136" s="3"/>
      <c r="H136" s="6"/>
    </row>
    <row r="137" spans="1:8" x14ac:dyDescent="0.25">
      <c r="A137" s="27">
        <v>135</v>
      </c>
      <c r="B137" s="11"/>
      <c r="C137" s="3"/>
      <c r="D137" s="29"/>
      <c r="F137" s="30"/>
      <c r="G137" s="3"/>
      <c r="H137" s="6"/>
    </row>
    <row r="138" spans="1:8" x14ac:dyDescent="0.25">
      <c r="A138" s="27">
        <v>136</v>
      </c>
      <c r="B138" s="11"/>
      <c r="C138" s="3"/>
      <c r="D138" s="29"/>
      <c r="F138" s="30"/>
      <c r="G138" s="3"/>
      <c r="H138" s="6"/>
    </row>
    <row r="139" spans="1:8" x14ac:dyDescent="0.25">
      <c r="A139" s="27">
        <v>137</v>
      </c>
      <c r="B139" s="11"/>
      <c r="C139" s="3"/>
      <c r="D139" s="29"/>
      <c r="F139" s="30"/>
      <c r="G139" s="3"/>
      <c r="H139" s="6"/>
    </row>
    <row r="140" spans="1:8" x14ac:dyDescent="0.25">
      <c r="A140" s="27">
        <v>138</v>
      </c>
      <c r="B140" s="11"/>
      <c r="C140" s="3"/>
      <c r="D140" s="29"/>
      <c r="F140" s="30"/>
      <c r="G140" s="3"/>
      <c r="H140" s="6"/>
    </row>
    <row r="141" spans="1:8" x14ac:dyDescent="0.25">
      <c r="A141" s="27">
        <v>139</v>
      </c>
      <c r="B141" s="11"/>
      <c r="C141" s="3"/>
      <c r="D141" s="29"/>
      <c r="F141" s="30"/>
      <c r="G141" s="3"/>
      <c r="H141" s="6"/>
    </row>
    <row r="142" spans="1:8" x14ac:dyDescent="0.25">
      <c r="A142" s="27">
        <v>140</v>
      </c>
      <c r="B142" s="11"/>
      <c r="C142" s="3"/>
      <c r="D142" s="29"/>
      <c r="F142" s="30"/>
      <c r="G142" s="3"/>
      <c r="H142" s="6"/>
    </row>
    <row r="143" spans="1:8" x14ac:dyDescent="0.25">
      <c r="A143" s="27">
        <v>141</v>
      </c>
      <c r="B143" s="11"/>
      <c r="C143" s="3"/>
      <c r="D143" s="29"/>
      <c r="F143" s="30"/>
      <c r="G143" s="3"/>
      <c r="H143" s="6"/>
    </row>
    <row r="144" spans="1:8" x14ac:dyDescent="0.25">
      <c r="A144" s="27">
        <v>142</v>
      </c>
      <c r="B144" s="11"/>
      <c r="C144" s="3"/>
      <c r="D144" s="29"/>
      <c r="F144" s="30"/>
      <c r="G144" s="3"/>
      <c r="H144" s="6"/>
    </row>
    <row r="145" spans="1:8" x14ac:dyDescent="0.25">
      <c r="A145" s="27">
        <v>143</v>
      </c>
      <c r="B145" s="11"/>
      <c r="C145" s="3"/>
      <c r="D145" s="29"/>
      <c r="F145" s="30"/>
      <c r="G145" s="3"/>
      <c r="H145" s="6"/>
    </row>
    <row r="146" spans="1:8" x14ac:dyDescent="0.25">
      <c r="A146" s="27">
        <v>144</v>
      </c>
      <c r="B146" s="11"/>
      <c r="C146" s="3"/>
      <c r="D146" s="29"/>
      <c r="F146" s="30"/>
      <c r="G146" s="3"/>
      <c r="H146" s="6"/>
    </row>
    <row r="147" spans="1:8" x14ac:dyDescent="0.25">
      <c r="A147" s="27">
        <v>145</v>
      </c>
      <c r="B147" s="32"/>
      <c r="C147" s="28"/>
      <c r="D147" s="29"/>
      <c r="F147" s="30"/>
      <c r="G147" s="28"/>
      <c r="H147" s="6"/>
    </row>
    <row r="148" spans="1:8" x14ac:dyDescent="0.25">
      <c r="A148" s="27">
        <v>146</v>
      </c>
      <c r="B148" s="32"/>
      <c r="C148" s="28"/>
      <c r="D148" s="29"/>
      <c r="F148" s="30"/>
      <c r="G148" s="28"/>
      <c r="H148" s="6"/>
    </row>
    <row r="149" spans="1:8" x14ac:dyDescent="0.25">
      <c r="A149" s="27">
        <v>147</v>
      </c>
      <c r="B149" s="32"/>
      <c r="C149" s="28"/>
      <c r="D149" s="29"/>
      <c r="F149" s="30"/>
      <c r="G149" s="3"/>
      <c r="H149" s="6"/>
    </row>
    <row r="150" spans="1:8" x14ac:dyDescent="0.25">
      <c r="A150" s="27">
        <v>148</v>
      </c>
      <c r="B150" s="32"/>
      <c r="C150" s="3"/>
      <c r="D150" s="29"/>
      <c r="F150" s="30"/>
      <c r="G150" s="3"/>
      <c r="H150" s="6"/>
    </row>
    <row r="151" spans="1:8" x14ac:dyDescent="0.25">
      <c r="A151" s="27">
        <v>149</v>
      </c>
      <c r="B151" s="32"/>
      <c r="C151" s="3"/>
      <c r="D151" s="29"/>
      <c r="F151" s="30"/>
      <c r="G151" s="3"/>
      <c r="H151" s="6"/>
    </row>
    <row r="152" spans="1:8" x14ac:dyDescent="0.25">
      <c r="A152" s="27">
        <v>150</v>
      </c>
      <c r="B152" s="32"/>
      <c r="C152" s="3"/>
      <c r="D152" s="29"/>
      <c r="F152" s="30"/>
      <c r="G152" s="3"/>
      <c r="H152" s="6"/>
    </row>
    <row r="153" spans="1:8" x14ac:dyDescent="0.25">
      <c r="A153" s="27">
        <v>151</v>
      </c>
      <c r="B153" s="32"/>
      <c r="C153" s="28"/>
      <c r="D153" s="29"/>
      <c r="F153" s="30"/>
      <c r="G153" s="3"/>
      <c r="H153" s="6"/>
    </row>
    <row r="154" spans="1:8" x14ac:dyDescent="0.25">
      <c r="A154" s="27">
        <v>152</v>
      </c>
      <c r="B154" s="32"/>
      <c r="C154" s="28"/>
      <c r="D154" s="29"/>
      <c r="F154" s="30"/>
      <c r="G154" s="28"/>
      <c r="H154" s="6"/>
    </row>
    <row r="155" spans="1:8" x14ac:dyDescent="0.25">
      <c r="A155" s="27">
        <v>153</v>
      </c>
      <c r="B155" s="32"/>
      <c r="C155" s="28"/>
      <c r="D155" s="29"/>
      <c r="F155" s="30"/>
      <c r="G155" s="28"/>
      <c r="H155" s="6"/>
    </row>
    <row r="156" spans="1:8" x14ac:dyDescent="0.25">
      <c r="A156" s="27">
        <v>154</v>
      </c>
      <c r="B156" s="32"/>
      <c r="C156" s="3"/>
      <c r="D156" s="29"/>
      <c r="F156" s="30"/>
      <c r="G156" s="3"/>
      <c r="H156" s="6"/>
    </row>
    <row r="157" spans="1:8" x14ac:dyDescent="0.25">
      <c r="A157" s="27">
        <v>155</v>
      </c>
      <c r="B157" s="32"/>
      <c r="C157" s="28"/>
      <c r="D157" s="29"/>
      <c r="F157" s="30"/>
      <c r="G157" s="3"/>
      <c r="H157" s="6"/>
    </row>
    <row r="158" spans="1:8" x14ac:dyDescent="0.25">
      <c r="A158" s="27">
        <v>156</v>
      </c>
      <c r="B158" s="32"/>
      <c r="C158" s="28"/>
      <c r="D158" s="29"/>
      <c r="F158" s="30"/>
      <c r="G158" s="3"/>
      <c r="H158" s="6"/>
    </row>
    <row r="159" spans="1:8" x14ac:dyDescent="0.25">
      <c r="A159" s="27">
        <v>157</v>
      </c>
      <c r="B159" s="32"/>
      <c r="C159" s="3"/>
      <c r="D159" s="29"/>
      <c r="F159" s="30"/>
      <c r="G159" s="3"/>
      <c r="H159" s="6"/>
    </row>
    <row r="160" spans="1:8" x14ac:dyDescent="0.25">
      <c r="A160" s="27">
        <v>158</v>
      </c>
      <c r="B160" s="32"/>
      <c r="C160" s="3"/>
      <c r="D160" s="29"/>
      <c r="F160" s="30"/>
      <c r="G160" s="3"/>
      <c r="H160" s="6"/>
    </row>
    <row r="161" spans="1:8" x14ac:dyDescent="0.25">
      <c r="A161" s="27">
        <v>159</v>
      </c>
      <c r="B161" s="32"/>
      <c r="C161" s="3"/>
      <c r="D161" s="29"/>
      <c r="F161" s="30"/>
      <c r="G161" s="3"/>
      <c r="H161" s="6"/>
    </row>
    <row r="162" spans="1:8" x14ac:dyDescent="0.25">
      <c r="A162" s="27">
        <v>160</v>
      </c>
      <c r="B162" s="32"/>
      <c r="C162" s="3"/>
      <c r="D162" s="29"/>
      <c r="F162" s="30"/>
      <c r="G162" s="3"/>
      <c r="H162" s="6"/>
    </row>
    <row r="163" spans="1:8" x14ac:dyDescent="0.25">
      <c r="A163" s="27">
        <v>161</v>
      </c>
      <c r="B163" s="32"/>
      <c r="C163" s="3"/>
      <c r="D163" s="29"/>
      <c r="F163" s="30"/>
      <c r="G163" s="3"/>
      <c r="H163" s="6"/>
    </row>
    <row r="164" spans="1:8" x14ac:dyDescent="0.25">
      <c r="A164" s="27">
        <v>162</v>
      </c>
      <c r="B164" s="32"/>
      <c r="C164" s="3"/>
      <c r="D164" s="29"/>
      <c r="F164" s="30"/>
      <c r="G164" s="3"/>
      <c r="H164" s="6"/>
    </row>
    <row r="165" spans="1:8" x14ac:dyDescent="0.25">
      <c r="A165" s="27">
        <v>163</v>
      </c>
      <c r="B165" s="32"/>
      <c r="C165" s="3"/>
      <c r="D165" s="29"/>
      <c r="F165" s="30"/>
      <c r="G165" s="3"/>
      <c r="H165" s="6"/>
    </row>
    <row r="166" spans="1:8" x14ac:dyDescent="0.25">
      <c r="A166" s="27">
        <v>164</v>
      </c>
      <c r="B166" s="32"/>
      <c r="C166" s="3"/>
      <c r="D166" s="29"/>
      <c r="F166" s="30"/>
      <c r="G166" s="3"/>
      <c r="H166" s="6"/>
    </row>
    <row r="167" spans="1:8" x14ac:dyDescent="0.25">
      <c r="A167" s="27">
        <v>165</v>
      </c>
      <c r="B167" s="32"/>
      <c r="C167" s="3"/>
      <c r="D167" s="29"/>
      <c r="F167" s="30"/>
      <c r="G167" s="3"/>
      <c r="H167" s="6"/>
    </row>
    <row r="168" spans="1:8" x14ac:dyDescent="0.25">
      <c r="A168" s="27">
        <v>166</v>
      </c>
      <c r="B168" s="32"/>
      <c r="C168" s="3"/>
      <c r="D168" s="29"/>
      <c r="F168" s="30"/>
      <c r="G168" s="3"/>
      <c r="H168" s="6"/>
    </row>
    <row r="169" spans="1:8" x14ac:dyDescent="0.25">
      <c r="A169" s="27">
        <v>167</v>
      </c>
      <c r="B169" s="32"/>
      <c r="C169" s="3"/>
      <c r="D169" s="29"/>
      <c r="F169" s="30"/>
      <c r="G169" s="3"/>
      <c r="H169" s="6"/>
    </row>
    <row r="170" spans="1:8" x14ac:dyDescent="0.25">
      <c r="A170" s="27">
        <v>168</v>
      </c>
      <c r="B170" s="32"/>
      <c r="C170" s="3"/>
      <c r="D170" s="29"/>
      <c r="F170" s="30"/>
      <c r="G170" s="3"/>
      <c r="H170" s="6"/>
    </row>
    <row r="171" spans="1:8" x14ac:dyDescent="0.25">
      <c r="A171" s="27">
        <v>169</v>
      </c>
      <c r="B171" s="32"/>
      <c r="C171" s="3"/>
      <c r="D171" s="29"/>
      <c r="F171" s="30"/>
      <c r="G171" s="3"/>
      <c r="H171" s="6"/>
    </row>
    <row r="172" spans="1:8" x14ac:dyDescent="0.25">
      <c r="A172" s="27">
        <v>170</v>
      </c>
      <c r="B172" s="32"/>
      <c r="C172" s="3"/>
      <c r="D172" s="29"/>
      <c r="F172" s="30"/>
      <c r="G172" s="3"/>
      <c r="H172" s="6"/>
    </row>
    <row r="173" spans="1:8" x14ac:dyDescent="0.25">
      <c r="A173" s="27">
        <v>171</v>
      </c>
      <c r="B173" s="32"/>
      <c r="C173" s="3"/>
      <c r="D173" s="29"/>
      <c r="F173" s="30"/>
      <c r="G173" s="3"/>
      <c r="H173" s="6"/>
    </row>
    <row r="174" spans="1:8" x14ac:dyDescent="0.25">
      <c r="A174" s="27">
        <v>172</v>
      </c>
      <c r="B174" s="32"/>
      <c r="C174" s="3"/>
      <c r="D174" s="29"/>
      <c r="F174" s="30"/>
      <c r="G174" s="3"/>
      <c r="H174" s="6"/>
    </row>
    <row r="175" spans="1:8" x14ac:dyDescent="0.25">
      <c r="A175" s="27">
        <v>173</v>
      </c>
      <c r="B175" s="32"/>
      <c r="C175" s="28"/>
      <c r="D175" s="29"/>
      <c r="F175" s="30"/>
      <c r="G175" s="3"/>
      <c r="H175" s="6"/>
    </row>
    <row r="176" spans="1:8" x14ac:dyDescent="0.25">
      <c r="A176" s="27">
        <v>174</v>
      </c>
      <c r="B176" s="32"/>
      <c r="C176" s="28"/>
      <c r="D176" s="29"/>
      <c r="F176" s="30"/>
      <c r="G176" s="3"/>
      <c r="H176" s="6"/>
    </row>
    <row r="177" spans="1:8" x14ac:dyDescent="0.25">
      <c r="A177" s="27">
        <v>175</v>
      </c>
      <c r="B177" s="32"/>
      <c r="C177" s="28"/>
      <c r="D177" s="29"/>
      <c r="F177" s="30"/>
      <c r="G177" s="3"/>
      <c r="H177" s="6"/>
    </row>
    <row r="178" spans="1:8" x14ac:dyDescent="0.25">
      <c r="A178" s="27">
        <v>176</v>
      </c>
      <c r="B178" s="32"/>
      <c r="C178" s="28"/>
      <c r="D178" s="29"/>
      <c r="F178" s="30"/>
      <c r="G178" s="3"/>
      <c r="H178" s="6"/>
    </row>
    <row r="179" spans="1:8" x14ac:dyDescent="0.25">
      <c r="A179" s="27">
        <v>177</v>
      </c>
      <c r="B179" s="32"/>
      <c r="C179" s="28"/>
      <c r="D179" s="29"/>
      <c r="F179" s="30"/>
      <c r="G179" s="3"/>
      <c r="H179" s="6"/>
    </row>
    <row r="180" spans="1:8" x14ac:dyDescent="0.25">
      <c r="A180" s="27">
        <v>178</v>
      </c>
      <c r="B180" s="32"/>
      <c r="C180" s="28"/>
      <c r="D180" s="29"/>
      <c r="F180" s="30"/>
      <c r="G180" s="3"/>
      <c r="H180" s="6"/>
    </row>
    <row r="181" spans="1:8" x14ac:dyDescent="0.25">
      <c r="A181" s="27">
        <v>179</v>
      </c>
      <c r="B181" s="32"/>
      <c r="C181" s="28"/>
      <c r="D181" s="29"/>
      <c r="F181" s="6"/>
      <c r="G181" s="3"/>
      <c r="H181" s="6"/>
    </row>
    <row r="182" spans="1:8" x14ac:dyDescent="0.25">
      <c r="A182" s="27">
        <v>180</v>
      </c>
      <c r="B182" s="32"/>
      <c r="C182" s="28"/>
      <c r="D182" s="29"/>
      <c r="F182" s="30"/>
      <c r="G182" s="3"/>
      <c r="H182" s="6"/>
    </row>
    <row r="183" spans="1:8" x14ac:dyDescent="0.25">
      <c r="A183" s="27">
        <v>181</v>
      </c>
      <c r="B183" s="32"/>
      <c r="C183" s="28"/>
      <c r="D183" s="29"/>
      <c r="F183" s="30"/>
      <c r="G183" s="3"/>
      <c r="H183" s="6"/>
    </row>
    <row r="184" spans="1:8" x14ac:dyDescent="0.25">
      <c r="A184" s="27">
        <v>182</v>
      </c>
      <c r="B184" s="32"/>
      <c r="C184" s="28"/>
      <c r="D184" s="29"/>
      <c r="F184" s="30"/>
      <c r="G184" s="3"/>
      <c r="H184" s="6"/>
    </row>
    <row r="185" spans="1:8" x14ac:dyDescent="0.25">
      <c r="A185" s="27">
        <v>183</v>
      </c>
      <c r="B185" s="32"/>
      <c r="C185" s="28"/>
      <c r="F185" s="30"/>
      <c r="G185" s="28"/>
      <c r="H185" s="6"/>
    </row>
    <row r="186" spans="1:8" x14ac:dyDescent="0.25">
      <c r="A186" s="27">
        <v>184</v>
      </c>
      <c r="B186" s="32"/>
      <c r="C186" s="28"/>
      <c r="D186" s="33"/>
      <c r="F186" s="30"/>
      <c r="G186" s="3"/>
      <c r="H186" s="6"/>
    </row>
    <row r="187" spans="1:8" x14ac:dyDescent="0.25">
      <c r="A187" s="27">
        <v>185</v>
      </c>
      <c r="B187" s="32"/>
      <c r="C187" s="28"/>
      <c r="D187" s="33"/>
      <c r="F187" s="30"/>
      <c r="G187" s="3"/>
      <c r="H187" s="6"/>
    </row>
    <row r="188" spans="1:8" x14ac:dyDescent="0.25">
      <c r="A188" s="27">
        <v>186</v>
      </c>
      <c r="B188" s="32"/>
      <c r="C188" s="28"/>
      <c r="D188" s="33"/>
      <c r="F188" s="30"/>
      <c r="G188" s="3"/>
      <c r="H188" s="6"/>
    </row>
    <row r="189" spans="1:8" x14ac:dyDescent="0.25">
      <c r="A189" s="27">
        <v>187</v>
      </c>
      <c r="B189" s="32"/>
      <c r="C189" s="28"/>
      <c r="D189" s="33"/>
      <c r="F189" s="30"/>
      <c r="G189" s="3"/>
      <c r="H189" s="6"/>
    </row>
    <row r="190" spans="1:8" x14ac:dyDescent="0.25">
      <c r="A190" s="27">
        <v>188</v>
      </c>
      <c r="B190" s="32"/>
      <c r="C190" s="28"/>
      <c r="D190" s="33"/>
      <c r="F190" s="30"/>
      <c r="G190" s="3"/>
      <c r="H190" s="6"/>
    </row>
    <row r="191" spans="1:8" x14ac:dyDescent="0.25">
      <c r="A191" s="27">
        <v>189</v>
      </c>
      <c r="B191" s="32"/>
      <c r="C191" s="28"/>
      <c r="D191" s="33"/>
      <c r="F191" s="30"/>
      <c r="G191" s="3"/>
      <c r="H191" s="6"/>
    </row>
    <row r="192" spans="1:8" x14ac:dyDescent="0.25">
      <c r="A192" s="27">
        <v>190</v>
      </c>
      <c r="B192" s="32"/>
      <c r="C192" s="28"/>
      <c r="D192" s="33"/>
      <c r="F192" s="30"/>
      <c r="G192" s="3"/>
      <c r="H192" s="6"/>
    </row>
    <row r="193" spans="1:8" x14ac:dyDescent="0.25">
      <c r="A193" s="27">
        <v>191</v>
      </c>
      <c r="B193" s="32"/>
      <c r="C193" s="28"/>
      <c r="D193" s="33"/>
      <c r="F193" s="30"/>
      <c r="G193" s="3"/>
      <c r="H193" s="6"/>
    </row>
    <row r="194" spans="1:8" x14ac:dyDescent="0.25">
      <c r="A194" s="27">
        <v>192</v>
      </c>
      <c r="B194" s="32"/>
      <c r="C194" s="28"/>
      <c r="D194" s="33"/>
      <c r="F194" s="30"/>
      <c r="G194" s="3"/>
      <c r="H194" s="6"/>
    </row>
    <row r="195" spans="1:8" x14ac:dyDescent="0.25">
      <c r="A195" s="27">
        <v>193</v>
      </c>
      <c r="B195" s="32"/>
      <c r="C195" s="28"/>
      <c r="D195" s="33"/>
      <c r="F195" s="30"/>
      <c r="G195" s="3"/>
      <c r="H195" s="6"/>
    </row>
    <row r="196" spans="1:8" x14ac:dyDescent="0.25">
      <c r="A196" s="27">
        <v>194</v>
      </c>
      <c r="B196" s="32"/>
      <c r="C196" s="28"/>
      <c r="D196" s="33"/>
      <c r="F196" s="30"/>
      <c r="G196" s="3"/>
      <c r="H196" s="6"/>
    </row>
    <row r="197" spans="1:8" x14ac:dyDescent="0.25">
      <c r="A197" s="27">
        <v>195</v>
      </c>
      <c r="B197" s="32"/>
      <c r="C197" s="28"/>
      <c r="D197" s="33"/>
      <c r="F197" s="30"/>
      <c r="G197" s="3"/>
      <c r="H197" s="6"/>
    </row>
    <row r="198" spans="1:8" x14ac:dyDescent="0.25">
      <c r="A198" s="27">
        <v>196</v>
      </c>
      <c r="B198" s="32"/>
      <c r="C198" s="28"/>
      <c r="D198" s="33"/>
      <c r="F198" s="30"/>
      <c r="G198" s="3"/>
      <c r="H198" s="6"/>
    </row>
    <row r="199" spans="1:8" x14ac:dyDescent="0.25">
      <c r="A199" s="27">
        <v>197</v>
      </c>
      <c r="B199" s="32"/>
      <c r="C199" s="28"/>
      <c r="D199" s="33"/>
      <c r="F199" s="30"/>
      <c r="G199" s="3"/>
      <c r="H199" s="6"/>
    </row>
    <row r="200" spans="1:8" x14ac:dyDescent="0.25">
      <c r="A200" s="27">
        <v>198</v>
      </c>
      <c r="B200" s="32"/>
      <c r="C200" s="28"/>
      <c r="D200" s="33"/>
      <c r="F200" s="30"/>
      <c r="G200" s="3"/>
      <c r="H200" s="6"/>
    </row>
    <row r="201" spans="1:8" x14ac:dyDescent="0.25">
      <c r="A201" s="27">
        <v>199</v>
      </c>
      <c r="B201" s="32"/>
      <c r="C201" s="28"/>
      <c r="D201" s="33"/>
      <c r="F201" s="30"/>
      <c r="G201" s="3"/>
      <c r="H201" s="6"/>
    </row>
    <row r="202" spans="1:8" x14ac:dyDescent="0.25">
      <c r="A202" s="27">
        <v>200</v>
      </c>
      <c r="B202" s="32"/>
      <c r="C202" s="28"/>
      <c r="D202" s="33"/>
      <c r="F202" s="30"/>
      <c r="G202" s="3"/>
      <c r="H202" s="6"/>
    </row>
    <row r="203" spans="1:8" x14ac:dyDescent="0.25">
      <c r="A203" s="27">
        <v>201</v>
      </c>
      <c r="B203" s="32"/>
      <c r="C203" s="28"/>
      <c r="D203" s="33"/>
      <c r="F203" s="30"/>
      <c r="G203" s="3"/>
      <c r="H203" s="6"/>
    </row>
    <row r="204" spans="1:8" x14ac:dyDescent="0.25">
      <c r="A204" s="27">
        <v>202</v>
      </c>
      <c r="B204" s="32"/>
      <c r="C204" s="28"/>
      <c r="D204" s="33"/>
      <c r="F204" s="30"/>
      <c r="G204" s="3"/>
      <c r="H204" s="6"/>
    </row>
    <row r="205" spans="1:8" x14ac:dyDescent="0.25">
      <c r="A205" s="27">
        <v>203</v>
      </c>
      <c r="B205" s="32"/>
      <c r="C205" s="28"/>
      <c r="D205" s="33"/>
      <c r="F205" s="30"/>
      <c r="G205" s="28"/>
      <c r="H205" s="30"/>
    </row>
    <row r="206" spans="1:8" x14ac:dyDescent="0.25">
      <c r="A206" s="27">
        <v>204</v>
      </c>
      <c r="B206" s="32"/>
      <c r="C206" s="28"/>
      <c r="D206" s="33"/>
      <c r="F206" s="30"/>
      <c r="G206" s="28"/>
      <c r="H206" s="30"/>
    </row>
    <row r="207" spans="1:8" x14ac:dyDescent="0.25">
      <c r="A207" s="27">
        <v>205</v>
      </c>
      <c r="B207" s="32"/>
      <c r="C207" s="28"/>
      <c r="D207" s="33"/>
      <c r="F207" s="30"/>
      <c r="G207" s="28"/>
      <c r="H207" s="30"/>
    </row>
    <row r="208" spans="1:8" x14ac:dyDescent="0.25">
      <c r="A208" s="27">
        <v>206</v>
      </c>
      <c r="B208" s="32"/>
      <c r="C208" s="28"/>
      <c r="D208" s="33"/>
      <c r="F208" s="30"/>
      <c r="G208" s="28"/>
      <c r="H208" s="30"/>
    </row>
    <row r="209" spans="1:8" x14ac:dyDescent="0.25">
      <c r="A209" s="27">
        <v>207</v>
      </c>
      <c r="B209" s="32"/>
      <c r="C209" s="28"/>
      <c r="D209" s="33"/>
      <c r="F209" s="30"/>
      <c r="G209" s="28"/>
      <c r="H209" s="30"/>
    </row>
    <row r="210" spans="1:8" x14ac:dyDescent="0.25">
      <c r="A210" s="27">
        <v>208</v>
      </c>
      <c r="B210" s="32"/>
      <c r="C210" s="28"/>
      <c r="D210" s="33"/>
      <c r="F210" s="30"/>
      <c r="G210" s="28"/>
      <c r="H210" s="30"/>
    </row>
    <row r="211" spans="1:8" x14ac:dyDescent="0.25">
      <c r="A211" s="27">
        <v>209</v>
      </c>
      <c r="B211" s="32"/>
      <c r="C211" s="28"/>
      <c r="D211" s="33"/>
      <c r="F211" s="30"/>
      <c r="G211" s="28"/>
      <c r="H211" s="30"/>
    </row>
    <row r="212" spans="1:8" x14ac:dyDescent="0.25">
      <c r="A212" s="27">
        <v>210</v>
      </c>
      <c r="B212" s="32"/>
      <c r="C212" s="28"/>
      <c r="D212" s="33"/>
      <c r="F212" s="30"/>
      <c r="G212" s="28"/>
      <c r="H212" s="30"/>
    </row>
    <row r="213" spans="1:8" x14ac:dyDescent="0.25">
      <c r="A213" s="27">
        <v>211</v>
      </c>
      <c r="B213" s="32"/>
      <c r="C213" s="28"/>
      <c r="D213" s="33"/>
      <c r="F213" s="30"/>
      <c r="G213" s="28"/>
      <c r="H213" s="30"/>
    </row>
    <row r="214" spans="1:8" x14ac:dyDescent="0.25">
      <c r="A214" s="27">
        <v>212</v>
      </c>
      <c r="B214" s="32"/>
      <c r="C214" s="28"/>
      <c r="D214" s="33"/>
      <c r="F214" s="30"/>
      <c r="G214" s="28"/>
      <c r="H214" s="30"/>
    </row>
    <row r="215" spans="1:8" x14ac:dyDescent="0.25">
      <c r="A215" s="27">
        <v>213</v>
      </c>
      <c r="B215" s="32"/>
      <c r="C215" s="28"/>
      <c r="D215" s="33"/>
      <c r="F215" s="30"/>
      <c r="G215" s="28"/>
      <c r="H215" s="30"/>
    </row>
    <row r="216" spans="1:8" x14ac:dyDescent="0.25">
      <c r="A216" s="27">
        <v>214</v>
      </c>
      <c r="B216" s="32"/>
      <c r="C216" s="28"/>
      <c r="D216" s="33"/>
      <c r="F216" s="30"/>
      <c r="G216" s="28"/>
      <c r="H216" s="30"/>
    </row>
    <row r="217" spans="1:8" x14ac:dyDescent="0.25">
      <c r="A217" s="27">
        <v>215</v>
      </c>
      <c r="B217" s="32"/>
      <c r="C217" s="28"/>
      <c r="D217" s="33"/>
      <c r="F217" s="30"/>
      <c r="G217" s="28"/>
      <c r="H217" s="30"/>
    </row>
    <row r="218" spans="1:8" x14ac:dyDescent="0.25">
      <c r="A218" s="27">
        <v>216</v>
      </c>
      <c r="B218" s="32"/>
      <c r="C218" s="28"/>
      <c r="D218" s="33"/>
      <c r="F218" s="30"/>
      <c r="G218" s="28"/>
      <c r="H218" s="30"/>
    </row>
    <row r="219" spans="1:8" x14ac:dyDescent="0.25">
      <c r="A219" s="27">
        <v>217</v>
      </c>
      <c r="B219" s="32"/>
      <c r="C219" s="28"/>
      <c r="D219" s="33"/>
      <c r="F219" s="30"/>
      <c r="G219" s="28"/>
      <c r="H219" s="30"/>
    </row>
    <row r="220" spans="1:8" x14ac:dyDescent="0.25">
      <c r="A220" s="27">
        <v>218</v>
      </c>
      <c r="B220" s="32"/>
      <c r="C220" s="28"/>
      <c r="D220" s="33"/>
      <c r="F220" s="30"/>
      <c r="G220" s="28"/>
      <c r="H220" s="30"/>
    </row>
    <row r="221" spans="1:8" x14ac:dyDescent="0.25">
      <c r="A221" s="27">
        <v>219</v>
      </c>
      <c r="B221" s="32"/>
      <c r="C221" s="28"/>
      <c r="D221" s="33"/>
      <c r="F221" s="30"/>
      <c r="G221" s="28"/>
      <c r="H221" s="30"/>
    </row>
    <row r="222" spans="1:8" x14ac:dyDescent="0.25">
      <c r="A222" s="27">
        <v>220</v>
      </c>
      <c r="B222" s="32"/>
      <c r="C222" s="28"/>
      <c r="D222" s="33"/>
      <c r="F222" s="30"/>
      <c r="G222" s="28"/>
      <c r="H222" s="30"/>
    </row>
    <row r="223" spans="1:8" x14ac:dyDescent="0.25">
      <c r="A223" s="27">
        <v>221</v>
      </c>
      <c r="B223" s="32"/>
      <c r="C223" s="28"/>
      <c r="D223" s="33"/>
      <c r="F223" s="30"/>
      <c r="G223" s="28"/>
      <c r="H223" s="30"/>
    </row>
    <row r="224" spans="1:8" x14ac:dyDescent="0.25">
      <c r="A224" s="27">
        <v>222</v>
      </c>
      <c r="B224" s="32"/>
      <c r="C224" s="28"/>
      <c r="D224" s="33"/>
      <c r="F224" s="30"/>
      <c r="G224" s="28"/>
      <c r="H224" s="30"/>
    </row>
    <row r="225" spans="1:8" x14ac:dyDescent="0.25">
      <c r="A225" s="27">
        <v>223</v>
      </c>
      <c r="B225" s="32"/>
      <c r="C225" s="28"/>
      <c r="D225" s="33"/>
      <c r="F225" s="30"/>
      <c r="G225" s="28"/>
      <c r="H225" s="30"/>
    </row>
  </sheetData>
  <pageMargins left="0.7" right="0.7" top="0.75" bottom="0.75" header="0.3" footer="0.3"/>
  <pageSetup paperSize="9" scale="89" orientation="portrait" horizontalDpi="360" verticalDpi="360" r:id="rId1"/>
  <colBreaks count="1" manualBreakCount="1">
    <brk id="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F61"/>
  <sheetViews>
    <sheetView showWhiteSpace="0" topLeftCell="A22" zoomScaleNormal="100" zoomScalePageLayoutView="20" workbookViewId="0">
      <selection activeCell="E9" sqref="E9"/>
    </sheetView>
  </sheetViews>
  <sheetFormatPr baseColWidth="10" defaultColWidth="8.7109375" defaultRowHeight="15" x14ac:dyDescent="0.25"/>
  <cols>
    <col min="1" max="1" width="22.42578125" bestFit="1" customWidth="1"/>
    <col min="2" max="2" width="19.42578125" customWidth="1"/>
    <col min="3" max="3" width="11.42578125" bestFit="1" customWidth="1"/>
    <col min="4" max="4" width="10.7109375" customWidth="1"/>
    <col min="5" max="5" width="19.5703125" bestFit="1" customWidth="1"/>
    <col min="6" max="6" width="13.42578125" bestFit="1" customWidth="1"/>
    <col min="7" max="10" width="6.140625" bestFit="1" customWidth="1"/>
    <col min="11" max="11" width="5.140625" bestFit="1" customWidth="1"/>
    <col min="12" max="13" width="6.140625" bestFit="1" customWidth="1"/>
    <col min="14" max="15" width="5.140625" bestFit="1" customWidth="1"/>
    <col min="16" max="16" width="6.140625" bestFit="1" customWidth="1"/>
    <col min="17" max="17" width="5.140625" bestFit="1" customWidth="1"/>
    <col min="18" max="22" width="6.140625" bestFit="1" customWidth="1"/>
    <col min="23" max="23" width="3.28515625" bestFit="1" customWidth="1"/>
    <col min="24" max="24" width="6.140625" bestFit="1" customWidth="1"/>
    <col min="25" max="32" width="7.140625" bestFit="1" customWidth="1"/>
    <col min="33" max="33" width="6.140625" bestFit="1" customWidth="1"/>
    <col min="34" max="34" width="7.140625" bestFit="1" customWidth="1"/>
    <col min="35" max="35" width="6.140625" bestFit="1" customWidth="1"/>
    <col min="36" max="44" width="7.140625" bestFit="1" customWidth="1"/>
    <col min="45" max="45" width="6.140625" bestFit="1" customWidth="1"/>
    <col min="46" max="50" width="7.140625" bestFit="1" customWidth="1"/>
    <col min="51" max="51" width="4.42578125" bestFit="1" customWidth="1"/>
    <col min="52" max="52" width="7.140625" bestFit="1" customWidth="1"/>
    <col min="53" max="54" width="6.140625" bestFit="1" customWidth="1"/>
    <col min="55" max="56" width="7.140625" bestFit="1" customWidth="1"/>
    <col min="57" max="57" width="4.42578125" bestFit="1" customWidth="1"/>
    <col min="58" max="58" width="6.140625" bestFit="1" customWidth="1"/>
    <col min="59" max="79" width="7.140625" bestFit="1" customWidth="1"/>
    <col min="80" max="80" width="6.140625" bestFit="1" customWidth="1"/>
    <col min="81" max="82" width="7.140625" bestFit="1" customWidth="1"/>
    <col min="83" max="83" width="4.42578125" bestFit="1" customWidth="1"/>
    <col min="84" max="84" width="6.140625" bestFit="1" customWidth="1"/>
    <col min="85" max="85" width="7.140625" bestFit="1" customWidth="1"/>
    <col min="86" max="86" width="4.42578125" bestFit="1" customWidth="1"/>
    <col min="87" max="95" width="7.140625" bestFit="1" customWidth="1"/>
    <col min="96" max="96" width="6.140625" bestFit="1" customWidth="1"/>
    <col min="97" max="97" width="7.140625" bestFit="1" customWidth="1"/>
    <col min="98" max="98" width="4.42578125" bestFit="1" customWidth="1"/>
    <col min="99" max="100" width="7.140625" bestFit="1" customWidth="1"/>
    <col min="101" max="101" width="6.140625" bestFit="1" customWidth="1"/>
    <col min="102" max="105" width="7.140625" bestFit="1" customWidth="1"/>
    <col min="106" max="106" width="6.140625" bestFit="1" customWidth="1"/>
    <col min="107" max="122" width="7.140625" bestFit="1" customWidth="1"/>
    <col min="123" max="123" width="8.140625" bestFit="1" customWidth="1"/>
    <col min="124" max="124" width="9.28515625" bestFit="1" customWidth="1"/>
    <col min="125" max="125" width="11.140625" bestFit="1" customWidth="1"/>
    <col min="126" max="126" width="12.85546875" bestFit="1" customWidth="1"/>
  </cols>
  <sheetData>
    <row r="1" spans="1:6" ht="84.6" customHeight="1" x14ac:dyDescent="0.25"/>
    <row r="2" spans="1:6" hidden="1" x14ac:dyDescent="0.25">
      <c r="A2" s="12" t="s">
        <v>5</v>
      </c>
      <c r="B2" s="13" t="s">
        <v>26</v>
      </c>
    </row>
    <row r="4" spans="1:6" x14ac:dyDescent="0.25">
      <c r="A4" s="12" t="s">
        <v>6</v>
      </c>
      <c r="B4" s="12" t="s">
        <v>7</v>
      </c>
      <c r="C4" s="12" t="s">
        <v>1</v>
      </c>
      <c r="D4" s="12" t="s">
        <v>0</v>
      </c>
      <c r="E4" s="12" t="s">
        <v>2</v>
      </c>
      <c r="F4" s="13" t="s">
        <v>20</v>
      </c>
    </row>
    <row r="5" spans="1:6" x14ac:dyDescent="0.25">
      <c r="A5" s="13" t="s">
        <v>29</v>
      </c>
      <c r="B5" s="13" t="s">
        <v>30</v>
      </c>
      <c r="C5" s="34">
        <v>46051</v>
      </c>
      <c r="D5" s="13">
        <v>2</v>
      </c>
      <c r="E5" s="13" t="s">
        <v>33</v>
      </c>
      <c r="F5" s="31">
        <v>194.04</v>
      </c>
    </row>
    <row r="6" spans="1:6" x14ac:dyDescent="0.25">
      <c r="A6" s="13"/>
      <c r="B6" s="13"/>
      <c r="C6" s="13"/>
      <c r="D6" s="13">
        <v>3</v>
      </c>
      <c r="E6" s="13" t="s">
        <v>34</v>
      </c>
      <c r="F6" s="31">
        <v>342.83</v>
      </c>
    </row>
    <row r="7" spans="1:6" x14ac:dyDescent="0.25">
      <c r="A7" s="13"/>
      <c r="B7" s="13"/>
      <c r="C7" s="34">
        <v>46055</v>
      </c>
      <c r="D7" s="13">
        <v>5</v>
      </c>
      <c r="E7" s="13" t="s">
        <v>27</v>
      </c>
      <c r="F7" s="31">
        <v>64.77</v>
      </c>
    </row>
    <row r="8" spans="1:6" x14ac:dyDescent="0.25">
      <c r="A8" s="13"/>
      <c r="B8" s="13"/>
      <c r="C8" s="13"/>
      <c r="D8" s="13">
        <v>6</v>
      </c>
      <c r="E8" s="13" t="s">
        <v>37</v>
      </c>
      <c r="F8" s="31">
        <v>780.07</v>
      </c>
    </row>
    <row r="9" spans="1:6" x14ac:dyDescent="0.25">
      <c r="A9" s="13"/>
      <c r="B9" s="13"/>
      <c r="C9" s="13"/>
      <c r="D9" s="13">
        <v>7</v>
      </c>
      <c r="E9" s="13" t="s">
        <v>38</v>
      </c>
      <c r="F9" s="31">
        <v>191.24</v>
      </c>
    </row>
    <row r="10" spans="1:6" x14ac:dyDescent="0.25">
      <c r="A10" s="13"/>
      <c r="B10" s="13"/>
      <c r="C10" s="34">
        <v>46062</v>
      </c>
      <c r="D10" s="13">
        <v>8</v>
      </c>
      <c r="E10" s="13" t="s">
        <v>39</v>
      </c>
      <c r="F10" s="31">
        <v>197.74</v>
      </c>
    </row>
    <row r="11" spans="1:6" x14ac:dyDescent="0.25">
      <c r="A11" s="13"/>
      <c r="B11" s="13"/>
      <c r="C11" s="13"/>
      <c r="D11" s="13">
        <v>10</v>
      </c>
      <c r="E11" s="13" t="s">
        <v>42</v>
      </c>
      <c r="F11" s="31">
        <v>229.73</v>
      </c>
    </row>
    <row r="12" spans="1:6" x14ac:dyDescent="0.25">
      <c r="A12" s="13"/>
      <c r="B12" s="13"/>
      <c r="C12" s="13"/>
      <c r="D12" s="13">
        <v>11</v>
      </c>
      <c r="E12" s="13" t="s">
        <v>43</v>
      </c>
      <c r="F12" s="31">
        <v>462.59</v>
      </c>
    </row>
    <row r="13" spans="1:6" x14ac:dyDescent="0.25">
      <c r="A13" s="13"/>
      <c r="B13" s="13"/>
      <c r="C13" s="13"/>
      <c r="D13" s="13">
        <v>12</v>
      </c>
      <c r="E13" s="13" t="s">
        <v>27</v>
      </c>
      <c r="F13" s="31">
        <v>35.19</v>
      </c>
    </row>
    <row r="14" spans="1:6" x14ac:dyDescent="0.25">
      <c r="A14" s="13"/>
      <c r="B14" s="13"/>
      <c r="C14" s="13"/>
      <c r="D14" s="13">
        <v>13</v>
      </c>
      <c r="E14" s="13" t="s">
        <v>27</v>
      </c>
      <c r="F14" s="31">
        <v>52.79</v>
      </c>
    </row>
    <row r="15" spans="1:6" x14ac:dyDescent="0.25">
      <c r="A15" s="13"/>
      <c r="B15" s="13"/>
      <c r="C15" s="13"/>
      <c r="D15" s="13">
        <v>14</v>
      </c>
      <c r="E15" s="13" t="s">
        <v>44</v>
      </c>
      <c r="F15" s="31">
        <v>113.27</v>
      </c>
    </row>
    <row r="16" spans="1:6" x14ac:dyDescent="0.25">
      <c r="A16" s="13"/>
      <c r="B16" s="13"/>
      <c r="C16" s="13"/>
      <c r="D16" s="13">
        <v>15</v>
      </c>
      <c r="E16" s="13" t="s">
        <v>45</v>
      </c>
      <c r="F16" s="31">
        <v>106.6</v>
      </c>
    </row>
    <row r="17" spans="1:6" x14ac:dyDescent="0.25">
      <c r="A17" s="13"/>
      <c r="B17" s="13"/>
      <c r="C17" s="13"/>
      <c r="D17" s="13">
        <v>16</v>
      </c>
      <c r="E17" s="13" t="s">
        <v>46</v>
      </c>
      <c r="F17" s="31">
        <v>300.77</v>
      </c>
    </row>
    <row r="18" spans="1:6" x14ac:dyDescent="0.25">
      <c r="A18" s="13"/>
      <c r="B18" s="13"/>
      <c r="C18" s="34">
        <v>46066</v>
      </c>
      <c r="D18" s="13">
        <v>19</v>
      </c>
      <c r="E18" s="13" t="s">
        <v>50</v>
      </c>
      <c r="F18" s="31">
        <v>87.9</v>
      </c>
    </row>
    <row r="19" spans="1:6" x14ac:dyDescent="0.25">
      <c r="A19" s="13"/>
      <c r="B19" s="13"/>
      <c r="C19" s="13"/>
      <c r="D19" s="13">
        <v>20</v>
      </c>
      <c r="E19" s="13" t="s">
        <v>51</v>
      </c>
      <c r="F19" s="31">
        <v>324.02999999999997</v>
      </c>
    </row>
    <row r="20" spans="1:6" x14ac:dyDescent="0.25">
      <c r="A20" s="13"/>
      <c r="B20" s="13"/>
      <c r="C20" s="13"/>
      <c r="D20" s="13">
        <v>21</v>
      </c>
      <c r="E20" s="13" t="s">
        <v>51</v>
      </c>
      <c r="F20" s="31">
        <v>223.3</v>
      </c>
    </row>
    <row r="21" spans="1:6" x14ac:dyDescent="0.25">
      <c r="A21" s="13"/>
      <c r="B21" s="13"/>
      <c r="C21" s="34">
        <v>46072</v>
      </c>
      <c r="D21" s="13">
        <v>22</v>
      </c>
      <c r="E21" s="13" t="s">
        <v>52</v>
      </c>
      <c r="F21" s="31">
        <v>242.49</v>
      </c>
    </row>
    <row r="22" spans="1:6" x14ac:dyDescent="0.25">
      <c r="A22" s="13"/>
      <c r="B22" s="13"/>
      <c r="C22" s="13"/>
      <c r="D22" s="13">
        <v>23</v>
      </c>
      <c r="E22" s="13" t="s">
        <v>53</v>
      </c>
      <c r="F22" s="31">
        <v>221.97</v>
      </c>
    </row>
    <row r="23" spans="1:6" x14ac:dyDescent="0.25">
      <c r="A23" s="13"/>
      <c r="B23" s="13"/>
      <c r="C23" s="13"/>
      <c r="D23" s="13">
        <v>24</v>
      </c>
      <c r="E23" s="13" t="s">
        <v>27</v>
      </c>
      <c r="F23" s="31">
        <v>116.19</v>
      </c>
    </row>
    <row r="24" spans="1:6" x14ac:dyDescent="0.25">
      <c r="A24" s="13"/>
      <c r="B24" s="13"/>
      <c r="C24" s="34">
        <v>46080</v>
      </c>
      <c r="D24" s="13">
        <v>25</v>
      </c>
      <c r="E24" s="13" t="s">
        <v>55</v>
      </c>
      <c r="F24" s="31">
        <v>227.21</v>
      </c>
    </row>
    <row r="25" spans="1:6" x14ac:dyDescent="0.25">
      <c r="A25" s="13"/>
      <c r="B25" s="13"/>
      <c r="C25" s="13"/>
      <c r="D25" s="13">
        <v>26</v>
      </c>
      <c r="E25" s="13" t="s">
        <v>56</v>
      </c>
      <c r="F25" s="31">
        <v>234.32</v>
      </c>
    </row>
    <row r="26" spans="1:6" x14ac:dyDescent="0.25">
      <c r="A26" s="13"/>
      <c r="B26" s="13"/>
      <c r="C26" s="13"/>
      <c r="D26" s="13">
        <v>27</v>
      </c>
      <c r="E26" s="13" t="s">
        <v>57</v>
      </c>
      <c r="F26" s="31">
        <v>106.7</v>
      </c>
    </row>
    <row r="27" spans="1:6" x14ac:dyDescent="0.25">
      <c r="A27" s="13"/>
      <c r="B27" s="13"/>
      <c r="C27" s="34">
        <v>46084</v>
      </c>
      <c r="D27" s="13">
        <v>28</v>
      </c>
      <c r="E27" s="13" t="s">
        <v>27</v>
      </c>
      <c r="F27" s="31">
        <v>47.67</v>
      </c>
    </row>
    <row r="28" spans="1:6" x14ac:dyDescent="0.25">
      <c r="A28" s="13"/>
      <c r="B28" s="13"/>
      <c r="C28" s="34">
        <v>46090</v>
      </c>
      <c r="D28" s="13">
        <v>29</v>
      </c>
      <c r="E28" s="13" t="s">
        <v>53</v>
      </c>
      <c r="F28" s="31">
        <v>45.72</v>
      </c>
    </row>
    <row r="29" spans="1:6" x14ac:dyDescent="0.25">
      <c r="A29" s="13"/>
      <c r="B29" s="13"/>
      <c r="C29" s="13"/>
      <c r="D29" s="13">
        <v>30</v>
      </c>
      <c r="E29" s="13" t="s">
        <v>61</v>
      </c>
      <c r="F29" s="31">
        <v>163.33000000000001</v>
      </c>
    </row>
    <row r="30" spans="1:6" x14ac:dyDescent="0.25">
      <c r="A30" s="13"/>
      <c r="B30" s="13"/>
      <c r="C30" s="13"/>
      <c r="D30" s="13">
        <v>31</v>
      </c>
      <c r="E30" s="13" t="s">
        <v>46</v>
      </c>
      <c r="F30" s="31">
        <v>623.91999999999996</v>
      </c>
    </row>
    <row r="31" spans="1:6" x14ac:dyDescent="0.25">
      <c r="A31" s="13"/>
      <c r="B31" s="13"/>
      <c r="C31" s="13"/>
      <c r="D31" s="13">
        <v>32</v>
      </c>
      <c r="E31" s="13" t="s">
        <v>39</v>
      </c>
      <c r="F31" s="31">
        <v>221.67</v>
      </c>
    </row>
    <row r="32" spans="1:6" x14ac:dyDescent="0.25">
      <c r="A32" s="13"/>
      <c r="B32" s="13"/>
      <c r="C32" s="13"/>
      <c r="D32" s="13">
        <v>33</v>
      </c>
      <c r="E32" s="13" t="s">
        <v>52</v>
      </c>
      <c r="F32" s="31">
        <v>133.85</v>
      </c>
    </row>
    <row r="33" spans="1:6" x14ac:dyDescent="0.25">
      <c r="A33" s="13"/>
      <c r="B33" s="13"/>
      <c r="C33" s="13"/>
      <c r="D33" s="13">
        <v>34</v>
      </c>
      <c r="E33" s="13" t="s">
        <v>43</v>
      </c>
      <c r="F33" s="31">
        <v>424.49</v>
      </c>
    </row>
    <row r="34" spans="1:6" x14ac:dyDescent="0.25">
      <c r="A34" s="13"/>
      <c r="B34" s="13"/>
      <c r="C34" s="13"/>
      <c r="D34" s="13">
        <v>35</v>
      </c>
      <c r="E34" s="13" t="s">
        <v>51</v>
      </c>
      <c r="F34" s="31">
        <v>223.3</v>
      </c>
    </row>
    <row r="35" spans="1:6" x14ac:dyDescent="0.25">
      <c r="A35" s="13"/>
      <c r="B35" s="13"/>
      <c r="C35" s="13"/>
      <c r="D35" s="13">
        <v>36</v>
      </c>
      <c r="E35" s="13" t="s">
        <v>51</v>
      </c>
      <c r="F35" s="31">
        <v>269.27999999999997</v>
      </c>
    </row>
    <row r="36" spans="1:6" x14ac:dyDescent="0.25">
      <c r="A36" s="13"/>
      <c r="B36" s="13"/>
      <c r="C36" s="13"/>
      <c r="D36" s="13">
        <v>37</v>
      </c>
      <c r="E36" s="13" t="s">
        <v>45</v>
      </c>
      <c r="F36" s="31">
        <v>303.39999999999998</v>
      </c>
    </row>
    <row r="37" spans="1:6" x14ac:dyDescent="0.25">
      <c r="A37" s="13"/>
      <c r="B37" s="13"/>
      <c r="C37" s="13"/>
      <c r="D37" s="13">
        <v>38</v>
      </c>
      <c r="E37" s="13" t="s">
        <v>38</v>
      </c>
      <c r="F37" s="31">
        <v>190.04</v>
      </c>
    </row>
    <row r="38" spans="1:6" x14ac:dyDescent="0.25">
      <c r="A38" s="13"/>
      <c r="B38" s="13"/>
      <c r="C38" s="13"/>
      <c r="D38" s="13">
        <v>39</v>
      </c>
      <c r="E38" s="13" t="s">
        <v>38</v>
      </c>
      <c r="F38" s="31">
        <v>326.37</v>
      </c>
    </row>
    <row r="39" spans="1:6" x14ac:dyDescent="0.25">
      <c r="A39" s="13"/>
      <c r="B39" s="13"/>
      <c r="C39" s="13"/>
      <c r="D39" s="13">
        <v>40</v>
      </c>
      <c r="E39" s="13" t="s">
        <v>37</v>
      </c>
      <c r="F39" s="31">
        <v>320.74</v>
      </c>
    </row>
    <row r="40" spans="1:6" x14ac:dyDescent="0.25">
      <c r="A40" s="13"/>
      <c r="B40" s="13"/>
      <c r="C40" s="34">
        <v>46091</v>
      </c>
      <c r="D40" s="13">
        <v>42</v>
      </c>
      <c r="E40" s="13" t="s">
        <v>27</v>
      </c>
      <c r="F40" s="31">
        <v>35.19</v>
      </c>
    </row>
    <row r="41" spans="1:6" x14ac:dyDescent="0.25">
      <c r="A41" s="13"/>
      <c r="B41" s="13"/>
      <c r="C41" s="13"/>
      <c r="D41" s="13">
        <v>43</v>
      </c>
      <c r="E41" s="13" t="s">
        <v>34</v>
      </c>
      <c r="F41" s="31">
        <v>353.3</v>
      </c>
    </row>
    <row r="42" spans="1:6" x14ac:dyDescent="0.25">
      <c r="A42" s="13"/>
      <c r="B42" s="13"/>
      <c r="C42" s="34">
        <v>46101</v>
      </c>
      <c r="D42" s="13">
        <v>44</v>
      </c>
      <c r="E42" s="13" t="s">
        <v>27</v>
      </c>
      <c r="F42" s="31">
        <v>118.06</v>
      </c>
    </row>
    <row r="43" spans="1:6" x14ac:dyDescent="0.25">
      <c r="A43" s="13"/>
      <c r="B43" s="13"/>
      <c r="C43" s="13"/>
      <c r="D43" s="13">
        <v>45</v>
      </c>
      <c r="E43" s="13" t="s">
        <v>42</v>
      </c>
      <c r="F43" s="31">
        <v>327.85</v>
      </c>
    </row>
    <row r="44" spans="1:6" x14ac:dyDescent="0.25">
      <c r="A44" s="13"/>
      <c r="B44" s="13"/>
      <c r="C44" s="13"/>
      <c r="D44" s="13">
        <v>46</v>
      </c>
      <c r="E44" s="13" t="s">
        <v>55</v>
      </c>
      <c r="F44" s="31">
        <v>160.32</v>
      </c>
    </row>
    <row r="45" spans="1:6" x14ac:dyDescent="0.25">
      <c r="A45" s="13"/>
      <c r="B45" s="13"/>
      <c r="C45" s="13"/>
      <c r="D45" s="13">
        <v>47</v>
      </c>
      <c r="E45" s="13" t="s">
        <v>65</v>
      </c>
      <c r="F45" s="31">
        <v>112.5</v>
      </c>
    </row>
    <row r="46" spans="1:6" x14ac:dyDescent="0.25">
      <c r="A46" s="13"/>
      <c r="B46" s="13"/>
      <c r="C46" s="13"/>
      <c r="D46" s="13">
        <v>48</v>
      </c>
      <c r="E46" s="13" t="s">
        <v>65</v>
      </c>
      <c r="F46" s="31">
        <v>284.10000000000002</v>
      </c>
    </row>
    <row r="47" spans="1:6" x14ac:dyDescent="0.25">
      <c r="A47" s="13"/>
      <c r="B47" s="13" t="s">
        <v>31</v>
      </c>
      <c r="C47" s="13"/>
      <c r="D47" s="13"/>
      <c r="E47" s="13"/>
      <c r="F47" s="31">
        <v>9540.8399999999983</v>
      </c>
    </row>
    <row r="48" spans="1:6" x14ac:dyDescent="0.25">
      <c r="A48" s="13"/>
      <c r="B48" s="13">
        <v>2025</v>
      </c>
      <c r="C48" s="34">
        <v>46037</v>
      </c>
      <c r="D48" s="13">
        <v>1</v>
      </c>
      <c r="E48" s="13" t="s">
        <v>27</v>
      </c>
      <c r="F48" s="31">
        <v>17.600000000000001</v>
      </c>
    </row>
    <row r="49" spans="1:6" x14ac:dyDescent="0.25">
      <c r="A49" s="13"/>
      <c r="B49" s="13" t="s">
        <v>54</v>
      </c>
      <c r="C49" s="13"/>
      <c r="D49" s="13"/>
      <c r="E49" s="13"/>
      <c r="F49" s="31">
        <v>17.600000000000001</v>
      </c>
    </row>
    <row r="50" spans="1:6" x14ac:dyDescent="0.25">
      <c r="A50" s="13" t="s">
        <v>32</v>
      </c>
      <c r="B50" s="13"/>
      <c r="C50" s="13"/>
      <c r="D50" s="13"/>
      <c r="E50" s="13"/>
      <c r="F50" s="31">
        <v>9558.4399999999987</v>
      </c>
    </row>
    <row r="51" spans="1:6" x14ac:dyDescent="0.25">
      <c r="A51" s="13" t="s">
        <v>36</v>
      </c>
      <c r="B51" s="13" t="s">
        <v>30</v>
      </c>
      <c r="C51" s="34">
        <v>46051</v>
      </c>
      <c r="D51" s="13">
        <v>4</v>
      </c>
      <c r="E51" s="13" t="s">
        <v>35</v>
      </c>
      <c r="F51" s="31">
        <v>211.42</v>
      </c>
    </row>
    <row r="52" spans="1:6" x14ac:dyDescent="0.25">
      <c r="A52" s="13"/>
      <c r="B52" s="13"/>
      <c r="C52" s="34">
        <v>46062</v>
      </c>
      <c r="D52" s="13">
        <v>17</v>
      </c>
      <c r="E52" s="13" t="s">
        <v>47</v>
      </c>
      <c r="F52" s="31">
        <v>253.41</v>
      </c>
    </row>
    <row r="53" spans="1:6" x14ac:dyDescent="0.25">
      <c r="A53" s="13"/>
      <c r="B53" s="13" t="s">
        <v>31</v>
      </c>
      <c r="C53" s="13"/>
      <c r="D53" s="13"/>
      <c r="E53" s="13"/>
      <c r="F53" s="31">
        <v>464.83</v>
      </c>
    </row>
    <row r="54" spans="1:6" x14ac:dyDescent="0.25">
      <c r="A54" s="13" t="s">
        <v>58</v>
      </c>
      <c r="B54" s="13"/>
      <c r="C54" s="13"/>
      <c r="D54" s="13"/>
      <c r="E54" s="13"/>
      <c r="F54" s="31">
        <v>464.83</v>
      </c>
    </row>
    <row r="55" spans="1:6" x14ac:dyDescent="0.25">
      <c r="A55" s="13" t="s">
        <v>41</v>
      </c>
      <c r="B55" s="13" t="s">
        <v>30</v>
      </c>
      <c r="C55" s="34">
        <v>46062</v>
      </c>
      <c r="D55" s="13">
        <v>9</v>
      </c>
      <c r="E55" s="13" t="s">
        <v>40</v>
      </c>
      <c r="F55" s="31">
        <v>383</v>
      </c>
    </row>
    <row r="56" spans="1:6" x14ac:dyDescent="0.25">
      <c r="A56" s="13"/>
      <c r="B56" s="13" t="s">
        <v>31</v>
      </c>
      <c r="C56" s="13"/>
      <c r="D56" s="13"/>
      <c r="E56" s="13"/>
      <c r="F56" s="31">
        <v>383</v>
      </c>
    </row>
    <row r="57" spans="1:6" x14ac:dyDescent="0.25">
      <c r="A57" s="13" t="s">
        <v>59</v>
      </c>
      <c r="B57" s="13"/>
      <c r="C57" s="13"/>
      <c r="D57" s="13"/>
      <c r="E57" s="13"/>
      <c r="F57" s="31">
        <v>383</v>
      </c>
    </row>
    <row r="58" spans="1:6" x14ac:dyDescent="0.25">
      <c r="A58" s="13" t="s">
        <v>49</v>
      </c>
      <c r="B58" s="13" t="s">
        <v>30</v>
      </c>
      <c r="C58" s="34">
        <v>46063</v>
      </c>
      <c r="D58" s="13">
        <v>18</v>
      </c>
      <c r="E58" s="13" t="s">
        <v>48</v>
      </c>
      <c r="F58" s="31">
        <v>75</v>
      </c>
    </row>
    <row r="59" spans="1:6" x14ac:dyDescent="0.25">
      <c r="A59" s="13"/>
      <c r="B59" s="13" t="s">
        <v>31</v>
      </c>
      <c r="C59" s="13"/>
      <c r="D59" s="13"/>
      <c r="E59" s="13"/>
      <c r="F59" s="31">
        <v>75</v>
      </c>
    </row>
    <row r="60" spans="1:6" x14ac:dyDescent="0.25">
      <c r="A60" s="13" t="s">
        <v>60</v>
      </c>
      <c r="B60" s="13"/>
      <c r="C60" s="13"/>
      <c r="D60" s="13"/>
      <c r="E60" s="13"/>
      <c r="F60" s="31">
        <v>75</v>
      </c>
    </row>
    <row r="61" spans="1:6" x14ac:dyDescent="0.25">
      <c r="A61" s="13" t="s">
        <v>21</v>
      </c>
      <c r="B61" s="13"/>
      <c r="C61" s="13"/>
      <c r="D61" s="13"/>
      <c r="E61" s="13"/>
      <c r="F61" s="31">
        <v>10481.269999999999</v>
      </c>
    </row>
  </sheetData>
  <pageMargins left="0.70866141732283472" right="0.70866141732283472" top="0.74803149606299213" bottom="0.74803149606299213" header="0.31496062992125984" footer="0.31496062992125984"/>
  <pageSetup paperSize="9" orientation="landscape" horizontalDpi="360" verticalDpi="360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F8"/>
  <sheetViews>
    <sheetView zoomScaleNormal="100" workbookViewId="0">
      <selection activeCell="E4" sqref="E4"/>
    </sheetView>
  </sheetViews>
  <sheetFormatPr baseColWidth="10" defaultColWidth="8.7109375" defaultRowHeight="15" x14ac:dyDescent="0.25"/>
  <cols>
    <col min="1" max="1" width="22.42578125" bestFit="1" customWidth="1"/>
    <col min="2" max="2" width="23" customWidth="1"/>
    <col min="3" max="3" width="12.7109375" customWidth="1"/>
    <col min="4" max="4" width="14.140625" customWidth="1"/>
    <col min="5" max="5" width="27.7109375" bestFit="1" customWidth="1"/>
    <col min="6" max="6" width="17.140625" bestFit="1" customWidth="1"/>
  </cols>
  <sheetData>
    <row r="1" spans="1:6" ht="84.95" customHeight="1" x14ac:dyDescent="0.25"/>
    <row r="2" spans="1:6" hidden="1" x14ac:dyDescent="0.25">
      <c r="A2" s="12" t="s">
        <v>5</v>
      </c>
      <c r="B2" s="13" t="s">
        <v>18</v>
      </c>
    </row>
    <row r="4" spans="1:6" x14ac:dyDescent="0.25">
      <c r="A4" s="12" t="s">
        <v>6</v>
      </c>
      <c r="B4" s="12" t="s">
        <v>7</v>
      </c>
      <c r="C4" s="12" t="s">
        <v>1</v>
      </c>
      <c r="D4" s="12" t="s">
        <v>0</v>
      </c>
      <c r="E4" s="12" t="s">
        <v>2</v>
      </c>
      <c r="F4" s="13" t="s">
        <v>22</v>
      </c>
    </row>
    <row r="5" spans="1:6" x14ac:dyDescent="0.25">
      <c r="A5" s="13" t="s">
        <v>63</v>
      </c>
      <c r="B5" s="13" t="s">
        <v>30</v>
      </c>
      <c r="C5" s="34">
        <v>46274</v>
      </c>
      <c r="D5" s="13">
        <v>41</v>
      </c>
      <c r="E5" s="13" t="s">
        <v>62</v>
      </c>
      <c r="F5" s="31">
        <v>17510.189999999999</v>
      </c>
    </row>
    <row r="6" spans="1:6" x14ac:dyDescent="0.25">
      <c r="A6" s="13"/>
      <c r="B6" s="13" t="s">
        <v>31</v>
      </c>
      <c r="C6" s="13"/>
      <c r="D6" s="13"/>
      <c r="E6" s="13"/>
      <c r="F6" s="31">
        <v>17510.189999999999</v>
      </c>
    </row>
    <row r="7" spans="1:6" x14ac:dyDescent="0.25">
      <c r="A7" s="13" t="s">
        <v>64</v>
      </c>
      <c r="B7" s="13"/>
      <c r="C7" s="13"/>
      <c r="D7" s="13"/>
      <c r="E7" s="13"/>
      <c r="F7" s="31">
        <v>17510.189999999999</v>
      </c>
    </row>
    <row r="8" spans="1:6" x14ac:dyDescent="0.25">
      <c r="A8" s="13" t="s">
        <v>21</v>
      </c>
      <c r="B8" s="13"/>
      <c r="C8" s="13"/>
      <c r="D8" s="13"/>
      <c r="E8" s="13"/>
      <c r="F8" s="31">
        <v>17510.189999999999</v>
      </c>
    </row>
  </sheetData>
  <autoFilter ref="A4:F13" xr:uid="{00000000-0009-0000-0000-000002000000}"/>
  <pageMargins left="0.70866141732283472" right="0.70866141732283472" top="0.74803149606299213" bottom="0.74803149606299213" header="0.31496062992125984" footer="0.31496062992125984"/>
  <pageSetup paperSize="9" orientation="landscape" horizontalDpi="360" verticalDpi="360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D12"/>
  <sheetViews>
    <sheetView tabSelected="1" view="pageLayout" zoomScaleNormal="100" workbookViewId="0">
      <selection activeCell="D5" sqref="D5"/>
    </sheetView>
  </sheetViews>
  <sheetFormatPr baseColWidth="10" defaultColWidth="8.7109375" defaultRowHeight="15" x14ac:dyDescent="0.25"/>
  <cols>
    <col min="1" max="1" width="10.5703125" customWidth="1"/>
    <col min="2" max="2" width="17.7109375" customWidth="1"/>
    <col min="3" max="3" width="15.5703125" customWidth="1"/>
    <col min="4" max="4" width="13.42578125" customWidth="1"/>
  </cols>
  <sheetData>
    <row r="1" spans="1:4" ht="92.45" customHeight="1" x14ac:dyDescent="0.25"/>
    <row r="2" spans="1:4" ht="54" customHeight="1" x14ac:dyDescent="0.7">
      <c r="C2" s="16" t="s">
        <v>23</v>
      </c>
    </row>
    <row r="3" spans="1:4" x14ac:dyDescent="0.25">
      <c r="A3" s="15" t="s">
        <v>24</v>
      </c>
    </row>
    <row r="4" spans="1:4" x14ac:dyDescent="0.25">
      <c r="C4" s="21" t="s">
        <v>3</v>
      </c>
      <c r="D4" s="22">
        <f>VLOOKUP("Total general",DEBE!A5:F1000,6,FALSE)</f>
        <v>10481.269999999999</v>
      </c>
    </row>
    <row r="5" spans="1:4" x14ac:dyDescent="0.25">
      <c r="C5" s="23" t="s">
        <v>4</v>
      </c>
      <c r="D5" s="24">
        <f>VLOOKUP("Total general",HABER!A5:F1000,6,FALSE)</f>
        <v>17510.189999999999</v>
      </c>
    </row>
    <row r="6" spans="1:4" x14ac:dyDescent="0.25">
      <c r="D6" s="14"/>
    </row>
    <row r="7" spans="1:4" x14ac:dyDescent="0.25">
      <c r="C7" s="19" t="s">
        <v>25</v>
      </c>
      <c r="D7" s="20">
        <f>D5-D4</f>
        <v>7028.92</v>
      </c>
    </row>
    <row r="8" spans="1:4" x14ac:dyDescent="0.25">
      <c r="D8" s="14"/>
    </row>
    <row r="9" spans="1:4" x14ac:dyDescent="0.25">
      <c r="D9" s="14"/>
    </row>
    <row r="10" spans="1:4" x14ac:dyDescent="0.25">
      <c r="C10" s="26" t="s">
        <v>17</v>
      </c>
      <c r="D10" s="25">
        <f>VLOOKUP("SALDO ANTERIOR",COMEDOR!C2:E20,3,FALSE)</f>
        <v>50608.14</v>
      </c>
    </row>
    <row r="11" spans="1:4" x14ac:dyDescent="0.25">
      <c r="D11" s="14"/>
    </row>
    <row r="12" spans="1:4" x14ac:dyDescent="0.25">
      <c r="C12" s="17" t="s">
        <v>25</v>
      </c>
      <c r="D12" s="18">
        <f>D10+D7</f>
        <v>57637.06</v>
      </c>
    </row>
  </sheetData>
  <conditionalFormatting sqref="D7">
    <cfRule type="cellIs" dxfId="61" priority="2" operator="lessThan">
      <formula>0</formula>
    </cfRule>
  </conditionalFormatting>
  <conditionalFormatting sqref="D12">
    <cfRule type="cellIs" dxfId="60" priority="1" operator="lessThan">
      <formula>0</formula>
    </cfRule>
  </conditionalFormatting>
  <pageMargins left="0.7" right="0.7" top="0.75" bottom="0.75" header="0.3" footer="0.3"/>
  <pageSetup paperSize="9" orientation="landscape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COMEDOR</vt:lpstr>
      <vt:lpstr>DEBE</vt:lpstr>
      <vt:lpstr>HABER</vt:lpstr>
      <vt:lpstr>BALANCE</vt:lpstr>
      <vt:lpstr>DEBE!Títulos_a_imprimir</vt:lpstr>
      <vt:lpstr>HABER!Títulos_a_imprimir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Antonio</dc:creator>
  <cp:keywords/>
  <dc:description/>
  <cp:lastModifiedBy>ANTONIO</cp:lastModifiedBy>
  <cp:revision/>
  <cp:lastPrinted>2025-07-18T18:36:52Z</cp:lastPrinted>
  <dcterms:created xsi:type="dcterms:W3CDTF">2025-06-07T20:01:36Z</dcterms:created>
  <dcterms:modified xsi:type="dcterms:W3CDTF">2026-03-20T11:41:01Z</dcterms:modified>
  <cp:category/>
  <cp:contentStatus/>
</cp:coreProperties>
</file>