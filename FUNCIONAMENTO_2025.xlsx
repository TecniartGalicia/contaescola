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excel secretaría Raquel\2025\"/>
    </mc:Choice>
  </mc:AlternateContent>
  <xr:revisionPtr revIDLastSave="0" documentId="13_ncr:1_{75C2B077-21EC-4846-A8CF-996B8A274773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FUNCIONAMENTO" sheetId="1" r:id="rId1"/>
    <sheet name="DEBE" sheetId="5" r:id="rId2"/>
    <sheet name="HABER" sheetId="7" r:id="rId3"/>
    <sheet name="BALANCE" sheetId="8" r:id="rId4"/>
    <sheet name="Codigo" sheetId="6" r:id="rId5"/>
  </sheets>
  <definedNames>
    <definedName name="_xlnm._FilterDatabase" localSheetId="0" hidden="1">FUNCIONAMENTO!$A$1:$R$225</definedName>
    <definedName name="_xlnm.Print_Titles" localSheetId="1">DEBE!$1:$4</definedName>
    <definedName name="_xlnm.Print_Titles" localSheetId="2">HABER!$1:$4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7" i="1" l="1"/>
  <c r="H226" i="1"/>
  <c r="H225" i="1"/>
  <c r="H224" i="1"/>
  <c r="H223" i="1"/>
  <c r="H222" i="1"/>
  <c r="H221" i="1"/>
  <c r="H220" i="1"/>
  <c r="H219" i="1"/>
  <c r="H218" i="1"/>
  <c r="H217" i="1"/>
  <c r="H216" i="1"/>
  <c r="H215" i="1" l="1"/>
  <c r="H214" i="1"/>
  <c r="H213" i="1" l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 l="1"/>
  <c r="H196" i="1"/>
  <c r="H195" i="1"/>
  <c r="H194" i="1"/>
  <c r="H193" i="1"/>
  <c r="H192" i="1"/>
  <c r="H191" i="1"/>
  <c r="H190" i="1"/>
  <c r="H189" i="1" l="1"/>
  <c r="H188" i="1"/>
  <c r="H187" i="1"/>
  <c r="H186" i="1"/>
  <c r="H185" i="1"/>
  <c r="H184" i="1"/>
  <c r="H181" i="1"/>
  <c r="H182" i="1"/>
  <c r="H183" i="1"/>
  <c r="H180" i="1"/>
  <c r="H179" i="1"/>
  <c r="H178" i="1"/>
  <c r="H177" i="1"/>
  <c r="H176" i="1"/>
  <c r="H175" i="1" l="1"/>
  <c r="H174" i="1"/>
  <c r="H173" i="1" l="1"/>
  <c r="H172" i="1" l="1"/>
  <c r="H171" i="1" l="1"/>
  <c r="H170" i="1" l="1"/>
  <c r="H169" i="1" l="1"/>
  <c r="H168" i="1"/>
  <c r="H167" i="1"/>
  <c r="H166" i="1"/>
  <c r="H165" i="1"/>
  <c r="H164" i="1" l="1"/>
  <c r="H163" i="1"/>
  <c r="H162" i="1"/>
  <c r="H161" i="1" l="1"/>
  <c r="H160" i="1" l="1"/>
  <c r="H159" i="1"/>
  <c r="H158" i="1"/>
  <c r="H157" i="1"/>
  <c r="H156" i="1"/>
  <c r="H155" i="1"/>
  <c r="H154" i="1" l="1"/>
  <c r="H153" i="1"/>
  <c r="H152" i="1" l="1"/>
  <c r="H151" i="1"/>
  <c r="H149" i="1" l="1"/>
  <c r="H150" i="1"/>
  <c r="H148" i="1" l="1"/>
  <c r="H147" i="1"/>
  <c r="H146" i="1"/>
  <c r="H145" i="1"/>
  <c r="H143" i="1" l="1"/>
  <c r="H144" i="1"/>
  <c r="H142" i="1"/>
  <c r="H141" i="1" l="1"/>
  <c r="H140" i="1"/>
  <c r="H139" i="1"/>
  <c r="H138" i="1"/>
  <c r="H137" i="1" l="1"/>
  <c r="H135" i="1" l="1"/>
  <c r="H136" i="1"/>
  <c r="H133" i="1" l="1"/>
  <c r="H134" i="1"/>
  <c r="H132" i="1" l="1"/>
  <c r="H131" i="1"/>
  <c r="H130" i="1"/>
  <c r="H129" i="1"/>
  <c r="H128" i="1" l="1"/>
  <c r="H127" i="1" l="1"/>
  <c r="H115" i="1" l="1"/>
  <c r="H116" i="1"/>
  <c r="H117" i="1"/>
  <c r="H118" i="1"/>
  <c r="H119" i="1"/>
  <c r="H120" i="1"/>
  <c r="H121" i="1"/>
  <c r="H122" i="1"/>
  <c r="H123" i="1"/>
  <c r="H126" i="1" l="1"/>
  <c r="H114" i="1"/>
  <c r="H124" i="1"/>
  <c r="H125" i="1"/>
  <c r="H9" i="1" l="1"/>
  <c r="H113" i="1" l="1"/>
  <c r="D5" i="8" l="1"/>
  <c r="D4" i="8"/>
  <c r="D7" i="8" l="1"/>
  <c r="H3" i="1"/>
  <c r="H4" i="1"/>
  <c r="H5" i="1"/>
  <c r="H6" i="1"/>
  <c r="H7" i="1"/>
  <c r="H8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2" i="1"/>
</calcChain>
</file>

<file path=xl/sharedStrings.xml><?xml version="1.0" encoding="utf-8"?>
<sst xmlns="http://schemas.openxmlformats.org/spreadsheetml/2006/main" count="2475" uniqueCount="311">
  <si>
    <t>NUMERO</t>
  </si>
  <si>
    <t>DATA</t>
  </si>
  <si>
    <t>CONCEPTO</t>
  </si>
  <si>
    <t>DEBE</t>
  </si>
  <si>
    <t>HABER</t>
  </si>
  <si>
    <t>I_G</t>
  </si>
  <si>
    <t>CODIGO</t>
  </si>
  <si>
    <t>Cod Decrip</t>
  </si>
  <si>
    <t>PERIODO</t>
  </si>
  <si>
    <t>LIBRE</t>
  </si>
  <si>
    <t>XUSTIFICA</t>
  </si>
  <si>
    <t>NOME</t>
  </si>
  <si>
    <t>EUROS</t>
  </si>
  <si>
    <t>DIA</t>
  </si>
  <si>
    <t>MES</t>
  </si>
  <si>
    <t>ANO</t>
  </si>
  <si>
    <t>CHEQUE</t>
  </si>
  <si>
    <t>IMPRIMIR</t>
  </si>
  <si>
    <t>01/01/2022</t>
  </si>
  <si>
    <t>SALDO ANTERIOR</t>
  </si>
  <si>
    <t>I</t>
  </si>
  <si>
    <t/>
  </si>
  <si>
    <t>07/01/2025</t>
  </si>
  <si>
    <t xml:space="preserve">	GRENKE RENT, S.L.U.</t>
  </si>
  <si>
    <t>G</t>
  </si>
  <si>
    <t>01</t>
  </si>
  <si>
    <t>1º TRIMESTRE</t>
  </si>
  <si>
    <t>REPROGRAFIA</t>
  </si>
  <si>
    <t>08/01/2025</t>
  </si>
  <si>
    <t>02</t>
  </si>
  <si>
    <t>ALARMA</t>
  </si>
  <si>
    <t>08</t>
  </si>
  <si>
    <t>06/02/2025</t>
  </si>
  <si>
    <t>13/02/2025</t>
  </si>
  <si>
    <t>NEUROSINAIS</t>
  </si>
  <si>
    <t>11</t>
  </si>
  <si>
    <t>BECAS NEAE</t>
  </si>
  <si>
    <t>ANDREA</t>
  </si>
  <si>
    <t>ROI</t>
  </si>
  <si>
    <t>MERCACHINA</t>
  </si>
  <si>
    <t>MATERIAL</t>
  </si>
  <si>
    <t>26/02/2025</t>
  </si>
  <si>
    <t>NEW CENTER</t>
  </si>
  <si>
    <t>04.6</t>
  </si>
  <si>
    <t>AMAZON</t>
  </si>
  <si>
    <t>03</t>
  </si>
  <si>
    <t>MIDETERGENTE</t>
  </si>
  <si>
    <t>A. PINILLA</t>
  </si>
  <si>
    <t>ANAYA</t>
  </si>
  <si>
    <t>PLAMBE-FONDOS</t>
  </si>
  <si>
    <t>VICENS VIVES</t>
  </si>
  <si>
    <t>2024</t>
  </si>
  <si>
    <t>27/02/2025</t>
  </si>
  <si>
    <t xml:space="preserve">ITINERANCIAS FEBREIRO PAMELA                         </t>
  </si>
  <si>
    <t>10</t>
  </si>
  <si>
    <t xml:space="preserve">ITINERANCIAS FEBREIRO CRISTINA                       </t>
  </si>
  <si>
    <t xml:space="preserve">ITINERANCIAS XANEIRO PAMELA                          </t>
  </si>
  <si>
    <t xml:space="preserve">ITINERANCIAS XANEIRO CRISTINA                        </t>
  </si>
  <si>
    <t>03/03/2025</t>
  </si>
  <si>
    <t>CALENDARIOS ESTIÑO</t>
  </si>
  <si>
    <t>C</t>
  </si>
  <si>
    <t>06/03/2025</t>
  </si>
  <si>
    <t xml:space="preserve">ITINERANCIAS FEBREIRO NATI                           </t>
  </si>
  <si>
    <t xml:space="preserve">ITINERANCIAS XANEIRO NATI                            </t>
  </si>
  <si>
    <t xml:space="preserve">ITINERANCIAS FEBREIRO BEGONA                         </t>
  </si>
  <si>
    <t xml:space="preserve">ITINERANCIAS XANEIRO BEGONA                          </t>
  </si>
  <si>
    <t>13/03/2025</t>
  </si>
  <si>
    <t>E.S. GUNTIN</t>
  </si>
  <si>
    <t>04.1</t>
  </si>
  <si>
    <t>31/03/2025</t>
  </si>
  <si>
    <t>BOLANDA EDICIONES</t>
  </si>
  <si>
    <t xml:space="preserve">VIAXE-COMIDA DIRECTOR SANTIAGO 20/0 3/25 </t>
  </si>
  <si>
    <t>04/04/2025</t>
  </si>
  <si>
    <t>2º TRIMESTRE</t>
  </si>
  <si>
    <t>07/04/2025</t>
  </si>
  <si>
    <t>DEPARTAMENTO TERRITORIAL</t>
  </si>
  <si>
    <t>A1</t>
  </si>
  <si>
    <t>09/04/2025</t>
  </si>
  <si>
    <t>BECA ALUMNO TRASLADADO</t>
  </si>
  <si>
    <t>B</t>
  </si>
  <si>
    <t>11/04/2025</t>
  </si>
  <si>
    <t>CANDELA</t>
  </si>
  <si>
    <t>MARKET RAPISARDA</t>
  </si>
  <si>
    <t>23/04/2025</t>
  </si>
  <si>
    <t>PRELO</t>
  </si>
  <si>
    <t>SACAUNTOS</t>
  </si>
  <si>
    <t xml:space="preserve">ITINERANCIAS CRISTINA MARZO 2025                     </t>
  </si>
  <si>
    <t xml:space="preserve">ITINERANCIAS NATI MARZO 2025                         </t>
  </si>
  <si>
    <t xml:space="preserve">ITINERANCIAS BEGONA MARZO 2025                       </t>
  </si>
  <si>
    <t>06/05/2025</t>
  </si>
  <si>
    <t>15/05/2025</t>
  </si>
  <si>
    <t>GALINK</t>
  </si>
  <si>
    <t>DESENVOLVEMENTO PROGRAMA EDUCACIÓN DIXITAL 2024</t>
  </si>
  <si>
    <t>RESERVA AC. LUCUS AVENTURE</t>
  </si>
  <si>
    <t>ITINERANCIAS ABRIL NATI</t>
  </si>
  <si>
    <t>ITINERANCIAS ABRIL CRISTINA</t>
  </si>
  <si>
    <t>ITINERANCIAS ABRIL BEGONA</t>
  </si>
  <si>
    <t>19/05/2025</t>
  </si>
  <si>
    <t>EXCUR. 5º LUCUS AVENTUR</t>
  </si>
  <si>
    <t>AUTOBUS 1º CICLO</t>
  </si>
  <si>
    <t>RESERVA LUCUS AVENTUR</t>
  </si>
  <si>
    <t>22/05/2025</t>
  </si>
  <si>
    <t>NEW CENTRE BAZAR MODA</t>
  </si>
  <si>
    <t>04</t>
  </si>
  <si>
    <t>ELSUNO</t>
  </si>
  <si>
    <t>CENTROS PIE 2024</t>
  </si>
  <si>
    <t>27/05/2025</t>
  </si>
  <si>
    <t>2º PAGO AC. LUCUS AVENTUR</t>
  </si>
  <si>
    <t>LIDIA GOBERNA LAUREDA</t>
  </si>
  <si>
    <t>03/06/2025</t>
  </si>
  <si>
    <t>DIETA 29/05</t>
  </si>
  <si>
    <t>DIETA 29/06</t>
  </si>
  <si>
    <t>DIETAS 26,27,28,29/06</t>
  </si>
  <si>
    <t>HERCULES EDICIONES</t>
  </si>
  <si>
    <t>GRAN BAZAR LIYONG</t>
  </si>
  <si>
    <t>05/06/2025</t>
  </si>
  <si>
    <t>2º ABONO LUCUS AVENTUR 3º/4º</t>
  </si>
  <si>
    <t>AUTOBUS E. INFANTIL</t>
  </si>
  <si>
    <t>AUTOBÚS 3º/4º (BILLETES)</t>
  </si>
  <si>
    <t>09/06/2025</t>
  </si>
  <si>
    <t>ESTURION GALICIA S.L.</t>
  </si>
  <si>
    <t>11/06/2025</t>
  </si>
  <si>
    <t>ITINERANCIAS MAIO CRISTINA</t>
  </si>
  <si>
    <t>IITINERANCIAS MAIO NATI</t>
  </si>
  <si>
    <t>ITINERANCIAS MAIO 2025 BEGONA</t>
  </si>
  <si>
    <t>NEX CENTER BAZAR MODA</t>
  </si>
  <si>
    <t>TECNIART</t>
  </si>
  <si>
    <t>IRINDO</t>
  </si>
  <si>
    <t>12/06/2025</t>
  </si>
  <si>
    <t>AUTOBÚS 3º/4º (MOEDAS)</t>
  </si>
  <si>
    <t>LAURA MENDEZ</t>
  </si>
  <si>
    <t>CHRISTOPHER</t>
  </si>
  <si>
    <t>F. BUXARDA</t>
  </si>
  <si>
    <t>13/06/2025</t>
  </si>
  <si>
    <t>25/06/2025</t>
  </si>
  <si>
    <t>ROSA A. FDEZ LAGAR</t>
  </si>
  <si>
    <t>SONIA SUAREZ</t>
  </si>
  <si>
    <t>MATHÍAS</t>
  </si>
  <si>
    <t>LIBRERIA MAGO</t>
  </si>
  <si>
    <t>VELAISCA</t>
  </si>
  <si>
    <t>VINOSACRA</t>
  </si>
  <si>
    <t>26/06/2025</t>
  </si>
  <si>
    <t>A. SANCHEZ</t>
  </si>
  <si>
    <t>28/06/2025</t>
  </si>
  <si>
    <t>DIETAS conserxería</t>
  </si>
  <si>
    <t>30/06/2025</t>
  </si>
  <si>
    <t>ITINERANCIAS XUÑO NATI</t>
  </si>
  <si>
    <t>ITINERANCIAS XUÑO BEGOÑA</t>
  </si>
  <si>
    <t>Suma de DEBE</t>
  </si>
  <si>
    <t>Arredamientos</t>
  </si>
  <si>
    <t>Total 1º TRIMESTRE</t>
  </si>
  <si>
    <t>Total 2º TRIMESTRE</t>
  </si>
  <si>
    <t>Reparacións</t>
  </si>
  <si>
    <t>Total 02</t>
  </si>
  <si>
    <t>Material de oficina</t>
  </si>
  <si>
    <t>Suministracións</t>
  </si>
  <si>
    <t>Gasoleo</t>
  </si>
  <si>
    <t>Outras Subministracións</t>
  </si>
  <si>
    <t>Prima de seguro</t>
  </si>
  <si>
    <t>Axudas de custo e locomoción</t>
  </si>
  <si>
    <t>Gastos diversos</t>
  </si>
  <si>
    <t>Total general</t>
  </si>
  <si>
    <t>Suma de HABER</t>
  </si>
  <si>
    <t xml:space="preserve">Total </t>
  </si>
  <si>
    <t>Total A1</t>
  </si>
  <si>
    <t>Total B</t>
  </si>
  <si>
    <t>Total C</t>
  </si>
  <si>
    <t>BALANCE</t>
  </si>
  <si>
    <t>TOTAL</t>
  </si>
  <si>
    <t>RESULTADO</t>
  </si>
  <si>
    <t>CÓDIGO</t>
  </si>
  <si>
    <t>DESCRIPCION</t>
  </si>
  <si>
    <t>04.2</t>
  </si>
  <si>
    <t>Gas</t>
  </si>
  <si>
    <t>04.3</t>
  </si>
  <si>
    <t>Biomasa/Pellets</t>
  </si>
  <si>
    <t>04.4</t>
  </si>
  <si>
    <t>Electricidade</t>
  </si>
  <si>
    <t>04.5</t>
  </si>
  <si>
    <t>Auga</t>
  </si>
  <si>
    <t>05</t>
  </si>
  <si>
    <t>Comunicacións</t>
  </si>
  <si>
    <t>06</t>
  </si>
  <si>
    <t>Transporte</t>
  </si>
  <si>
    <t>07</t>
  </si>
  <si>
    <t>09</t>
  </si>
  <si>
    <t>Tributos</t>
  </si>
  <si>
    <t>12</t>
  </si>
  <si>
    <t>Mobiliario e utensilios inventariables</t>
  </si>
  <si>
    <t>13</t>
  </si>
  <si>
    <t>Outros o materiais inventariables</t>
  </si>
  <si>
    <t>14</t>
  </si>
  <si>
    <t>Comedores escolares</t>
  </si>
  <si>
    <t>A</t>
  </si>
  <si>
    <t>A2</t>
  </si>
  <si>
    <t>D</t>
  </si>
  <si>
    <t>E</t>
  </si>
  <si>
    <t>F</t>
  </si>
  <si>
    <t>H</t>
  </si>
  <si>
    <t>J</t>
  </si>
  <si>
    <t>K</t>
  </si>
  <si>
    <t>L</t>
  </si>
  <si>
    <t>Total dotación Consellería</t>
  </si>
  <si>
    <t>Gastos de funcionamento</t>
  </si>
  <si>
    <t>Fondo solidario libros</t>
  </si>
  <si>
    <t>A3</t>
  </si>
  <si>
    <t>A4</t>
  </si>
  <si>
    <t>A5</t>
  </si>
  <si>
    <t>A6</t>
  </si>
  <si>
    <t>A7</t>
  </si>
  <si>
    <t>A8</t>
  </si>
  <si>
    <t>Dotación Biblioteca</t>
  </si>
  <si>
    <t>Fondos plan mellora</t>
  </si>
  <si>
    <t>Fondos innovación</t>
  </si>
  <si>
    <t>Dotación comedores escolares</t>
  </si>
  <si>
    <t>Fondos P Lingüística</t>
  </si>
  <si>
    <t>Otros</t>
  </si>
  <si>
    <t>Dotacións UE-Outros organismos</t>
  </si>
  <si>
    <t>Dotacións legados e subvencións</t>
  </si>
  <si>
    <t>Ingreso convenios</t>
  </si>
  <si>
    <t>Alleamento de bens</t>
  </si>
  <si>
    <t>Ingresos vendas</t>
  </si>
  <si>
    <t>Ingresos uso instalacións</t>
  </si>
  <si>
    <t>Venda fotocopias</t>
  </si>
  <si>
    <t>Achegas comedor particulares</t>
  </si>
  <si>
    <t>Xuros das contas bancarias</t>
  </si>
  <si>
    <t>Outros ingresos</t>
  </si>
  <si>
    <t>Traballos realizados outras empresas</t>
  </si>
  <si>
    <t>Total H</t>
  </si>
  <si>
    <t>3º TRIMESTRE</t>
  </si>
  <si>
    <t>GRENKE RENT S.L.U.</t>
  </si>
  <si>
    <t>DECLARACIÓN IMPUESTOS</t>
  </si>
  <si>
    <t>Total 3º TRIMESTRE</t>
  </si>
  <si>
    <t>F. FERNANDEZ PEREZ</t>
  </si>
  <si>
    <t>PEÑALARA SOFTWARE S.L.</t>
  </si>
  <si>
    <t>PAGO INCORRECTO NA CONTA COMEDOR</t>
  </si>
  <si>
    <t>AUTOCARES DÍAZ</t>
  </si>
  <si>
    <t>ANDAINA MONFORTE</t>
  </si>
  <si>
    <t>LIFE HOME</t>
  </si>
  <si>
    <t>FERRETERIA VAZQUEZ</t>
  </si>
  <si>
    <t>EM HOME</t>
  </si>
  <si>
    <t>HERMEX IBERICA SL</t>
  </si>
  <si>
    <t>FARMACIA JESÚS FERNANDEZ</t>
  </si>
  <si>
    <t>Papeles Distrimar</t>
  </si>
  <si>
    <t>TEN HOME</t>
  </si>
  <si>
    <t>INVOICE</t>
  </si>
  <si>
    <t>EXCURSION GALIPARK 2º CICLO</t>
  </si>
  <si>
    <t>BECAS S G TESORO</t>
  </si>
  <si>
    <t>BECA NEAE SAMARA</t>
  </si>
  <si>
    <t>SAMARA</t>
  </si>
  <si>
    <t>MATHIAS</t>
  </si>
  <si>
    <t>PLAMBE - FONDOS</t>
  </si>
  <si>
    <t>Total A3</t>
  </si>
  <si>
    <t>VIAXE A MONFORTE MARÍA ISABEL MAZAIRA</t>
  </si>
  <si>
    <t>ITACA S.L. SANTILLANA</t>
  </si>
  <si>
    <t>BECA NEAE ROI</t>
  </si>
  <si>
    <t>VIAXE A LUGO XEFATURA E SECRETARÍA</t>
  </si>
  <si>
    <t>PARKING LUGO</t>
  </si>
  <si>
    <t>X.T PROGRAMA CERTIFICACIÓN COMPETENCIA LINGUÍSTICA</t>
  </si>
  <si>
    <t>XORNAL PAPAGAIO</t>
  </si>
  <si>
    <t>ALDI</t>
  </si>
  <si>
    <t>PERLADA</t>
  </si>
  <si>
    <t>OBRA COCIÑA</t>
  </si>
  <si>
    <t>OBRAS TECNICAS E CAUSAS SOBREVIDAS COMEDOR</t>
  </si>
  <si>
    <t>FONDO SOLIDARIO DE LIBROS EDIXGAL</t>
  </si>
  <si>
    <t>Total A2</t>
  </si>
  <si>
    <t>PSICÓLOGA CRISTINA VIDAL</t>
  </si>
  <si>
    <t>BECAS NEAE  ROI</t>
  </si>
  <si>
    <t>BECAS NEAE CANDELA</t>
  </si>
  <si>
    <t>BECAS NEAE SAMARA</t>
  </si>
  <si>
    <t>BECAS NEAE MATHIAS ALBERTO</t>
  </si>
  <si>
    <t>BECAS NEAE CRISTOPHER</t>
  </si>
  <si>
    <t>BECAS NEAE MATHIAS (CURSO 24/25)</t>
  </si>
  <si>
    <t>VIAXE NATI SANTIAGO</t>
  </si>
  <si>
    <t>SAÍDA AUDITORIO 6ºEI</t>
  </si>
  <si>
    <t>LIDL</t>
  </si>
  <si>
    <t>LINGUAS EXTRANXEIRAS</t>
  </si>
  <si>
    <t>FRAGA DOS MOUROS</t>
  </si>
  <si>
    <t>FOMENTO DO USO DO GALEGO</t>
  </si>
  <si>
    <t>SECURITAS DIRECT</t>
  </si>
  <si>
    <t>BECAS NEAE ROI</t>
  </si>
  <si>
    <t>BAZAR CHINO</t>
  </si>
  <si>
    <t>X.T CENTROS PIE 2025</t>
  </si>
  <si>
    <t>CENTROS PIE 2025</t>
  </si>
  <si>
    <t>Total A5</t>
  </si>
  <si>
    <t>NIASS EL BACHIR</t>
  </si>
  <si>
    <t>STAR CHINA</t>
  </si>
  <si>
    <t>FONDO LIBROS</t>
  </si>
  <si>
    <t>PLAMBE MOBILIARIO</t>
  </si>
  <si>
    <t>GALICHIP</t>
  </si>
  <si>
    <t>EDIXGAL</t>
  </si>
  <si>
    <t>ANA BELEN LODEIRO TRILLO</t>
  </si>
  <si>
    <t>ANA RODRÍGUEZ</t>
  </si>
  <si>
    <t>JOSÉ LUIS RODRÍGUEZ BLANCO</t>
  </si>
  <si>
    <t>Total A8</t>
  </si>
  <si>
    <t xml:space="preserve">FONDO LIBROS </t>
  </si>
  <si>
    <t>4º TRIMESTRE</t>
  </si>
  <si>
    <t>Total 4º TRIMESTRE</t>
  </si>
  <si>
    <t>X.T. APRENDIZAXE LINGUAS ESTRANXEIRAS</t>
  </si>
  <si>
    <t>Total 04.6</t>
  </si>
  <si>
    <t>Total 01</t>
  </si>
  <si>
    <t>Total 03</t>
  </si>
  <si>
    <t>Total 04.1</t>
  </si>
  <si>
    <t>Total 2024</t>
  </si>
  <si>
    <t>Total 08</t>
  </si>
  <si>
    <t>Total 10</t>
  </si>
  <si>
    <t>Total 11</t>
  </si>
  <si>
    <t>Total 06</t>
  </si>
  <si>
    <t>Total 12</t>
  </si>
  <si>
    <t>Total 07</t>
  </si>
  <si>
    <t>PROGRAMA ÉXITO ESCOLAR-IMPULSO DAS 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</si>
</sst>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242424"/>
      <name val="Consolas"/>
      <family val="3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2" borderId="1" xfId="1" applyFont="1" applyFill="1" applyBorder="1" applyAlignment="1">
      <alignment horizontal="center"/>
    </xf>
    <xf numFmtId="1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horizontal="left" wrapText="1"/>
    </xf>
    <xf numFmtId="0" fontId="2" fillId="0" borderId="0" xfId="1"/>
    <xf numFmtId="2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4" fillId="0" borderId="3" xfId="0" applyFont="1" applyBorder="1"/>
    <xf numFmtId="164" fontId="0" fillId="0" borderId="0" xfId="0" applyNumberFormat="1"/>
    <xf numFmtId="0" fontId="0" fillId="3" borderId="4" xfId="0" applyFill="1" applyBorder="1"/>
    <xf numFmtId="164" fontId="0" fillId="3" borderId="4" xfId="0" applyNumberFormat="1" applyFill="1" applyBorder="1"/>
    <xf numFmtId="0" fontId="0" fillId="4" borderId="4" xfId="0" applyFill="1" applyBorder="1"/>
    <xf numFmtId="164" fontId="0" fillId="4" borderId="4" xfId="0" applyNumberFormat="1" applyFill="1" applyBorder="1"/>
    <xf numFmtId="0" fontId="4" fillId="5" borderId="4" xfId="0" applyFont="1" applyFill="1" applyBorder="1"/>
    <xf numFmtId="164" fontId="4" fillId="5" borderId="4" xfId="0" applyNumberFormat="1" applyFont="1" applyFill="1" applyBorder="1"/>
    <xf numFmtId="0" fontId="5" fillId="0" borderId="0" xfId="0" applyFont="1"/>
    <xf numFmtId="1" fontId="1" fillId="0" borderId="5" xfId="1" applyNumberFormat="1" applyFont="1" applyFill="1" applyBorder="1" applyAlignment="1">
      <alignment horizontal="right" wrapText="1"/>
    </xf>
    <xf numFmtId="14" fontId="1" fillId="0" borderId="5" xfId="1" applyNumberFormat="1" applyFont="1" applyFill="1" applyBorder="1" applyAlignment="1">
      <alignment horizontal="right" wrapText="1"/>
    </xf>
    <xf numFmtId="0" fontId="1" fillId="0" borderId="5" xfId="1" applyFont="1" applyFill="1" applyBorder="1" applyAlignment="1">
      <alignment horizontal="left" wrapText="1"/>
    </xf>
    <xf numFmtId="2" fontId="1" fillId="0" borderId="5" xfId="1" applyNumberFormat="1" applyFont="1" applyFill="1" applyBorder="1" applyAlignment="1">
      <alignment horizontal="right" wrapText="1"/>
    </xf>
    <xf numFmtId="0" fontId="1" fillId="0" borderId="5" xfId="1" applyFont="1" applyFill="1" applyBorder="1" applyAlignment="1">
      <alignment wrapText="1"/>
    </xf>
    <xf numFmtId="14" fontId="0" fillId="0" borderId="0" xfId="0" applyNumberFormat="1"/>
    <xf numFmtId="0" fontId="1" fillId="0" borderId="2" xfId="1" applyFont="1" applyFill="1" applyBorder="1" applyAlignment="1">
      <alignment horizontal="left" wrapText="1"/>
    </xf>
    <xf numFmtId="14" fontId="1" fillId="0" borderId="2" xfId="1" applyNumberFormat="1" applyFont="1" applyBorder="1" applyAlignment="1">
      <alignment horizontal="right" wrapText="1"/>
    </xf>
    <xf numFmtId="49" fontId="6" fillId="0" borderId="2" xfId="1" applyNumberFormat="1" applyFont="1" applyBorder="1" applyAlignment="1">
      <alignment horizontal="right" wrapText="1"/>
    </xf>
    <xf numFmtId="49" fontId="3" fillId="0" borderId="0" xfId="0" applyNumberFormat="1" applyFont="1"/>
    <xf numFmtId="49" fontId="1" fillId="0" borderId="2" xfId="1" applyNumberFormat="1" applyFont="1" applyBorder="1" applyAlignment="1">
      <alignment horizontal="right" wrapText="1"/>
    </xf>
    <xf numFmtId="49" fontId="1" fillId="0" borderId="2" xfId="1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2" fontId="1" fillId="0" borderId="6" xfId="1" applyNumberFormat="1" applyFont="1" applyFill="1" applyBorder="1" applyAlignment="1">
      <alignment horizontal="right" wrapText="1"/>
    </xf>
  </cellXfs>
  <cellStyles count="2">
    <cellStyle name="Normal" xfId="0" builtinId="0"/>
    <cellStyle name="Normal_FUNCIONAMENTO" xfId="1" xr:uid="{00000000-0005-0000-0000-000001000000}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</dxf>
    <dxf>
      <font>
        <color rgb="FF9C000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107950</xdr:rowOff>
    </xdr:from>
    <xdr:to>
      <xdr:col>1</xdr:col>
      <xdr:colOff>1124585</xdr:colOff>
      <xdr:row>0</xdr:row>
      <xdr:rowOff>932180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795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139700</xdr:rowOff>
    </xdr:from>
    <xdr:to>
      <xdr:col>1</xdr:col>
      <xdr:colOff>1130935</xdr:colOff>
      <xdr:row>0</xdr:row>
      <xdr:rowOff>963930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970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114300</xdr:rowOff>
    </xdr:from>
    <xdr:to>
      <xdr:col>2</xdr:col>
      <xdr:colOff>19685</xdr:colOff>
      <xdr:row>0</xdr:row>
      <xdr:rowOff>938530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1430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8.455335648148" createdVersion="8" refreshedVersion="7" minRefreshableVersion="3" recordCount="509" xr:uid="{00000000-000A-0000-FFFF-FFFF21000000}">
  <cacheSource type="worksheet">
    <worksheetSource ref="A1:R1000" sheet="FUNCIONAMENTO"/>
  </cacheSource>
  <cacheFields count="18">
    <cacheField name="NUMERO" numFmtId="0">
      <sharedItems containsString="0" containsBlank="1" containsNumber="1" containsInteger="1" minValue="0" maxValue="225" count="22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m/>
      </sharedItems>
    </cacheField>
    <cacheField name="DATA" numFmtId="0">
      <sharedItems containsDate="1" containsBlank="1" containsMixedTypes="1" minDate="2025-06-26T00:00:00" maxDate="2026-02-03T00:00:00" count="69">
        <s v="01/01/2022"/>
        <s v="07/01/2025"/>
        <s v="08/01/2025"/>
        <s v="06/02/2025"/>
        <s v="13/02/2025"/>
        <s v="26/02/2025"/>
        <s v="27/02/2025"/>
        <s v="03/03/2025"/>
        <s v="06/03/2025"/>
        <s v="13/03/2025"/>
        <s v="31/03/2025"/>
        <s v="04/04/2025"/>
        <s v="07/04/2025"/>
        <s v="09/04/2025"/>
        <s v="11/04/2025"/>
        <s v="23/04/2025"/>
        <s v="06/05/2025"/>
        <s v="15/05/2025"/>
        <s v="19/05/2025"/>
        <s v="22/05/2025"/>
        <s v="27/05/2025"/>
        <s v="03/06/2025"/>
        <s v="05/06/2025"/>
        <s v="09/06/2025"/>
        <s v="11/06/2025"/>
        <s v="12/06/2025"/>
        <d v="2025-06-28T00:00:00"/>
        <s v="13/06/2025"/>
        <s v="25/06/2025"/>
        <s v="26/06/2025"/>
        <s v="28/06/2025"/>
        <s v="30/06/2025"/>
        <d v="2025-07-11T00:00:00"/>
        <d v="2025-07-22T00:00:00"/>
        <d v="2025-07-24T00:00:00"/>
        <d v="2025-08-28T00:00:00"/>
        <d v="2025-09-05T00:00:00"/>
        <d v="2025-09-08T00:00:00"/>
        <d v="2025-09-12T00:00:00"/>
        <d v="2025-09-17T00:00:00"/>
        <d v="2025-09-26T00:00:00"/>
        <d v="2025-10-07T00:00:00"/>
        <d v="2025-10-13T00:00:00"/>
        <d v="2025-10-20T00:00:00"/>
        <d v="2025-10-21T00:00:00"/>
        <d v="2025-10-27T00:00:00"/>
        <d v="2025-10-28T00:00:00"/>
        <d v="2025-11-05T00:00:00"/>
        <d v="2025-11-10T00:00:00"/>
        <d v="2025-11-11T00:00:00"/>
        <d v="2025-11-14T00:00:00"/>
        <d v="2025-11-17T00:00:00"/>
        <d v="2025-11-18T00:00:00"/>
        <d v="2025-11-21T00:00:00"/>
        <d v="2025-11-28T00:00:00"/>
        <d v="2025-12-03T00:00:00"/>
        <d v="2025-12-04T00:00:00"/>
        <d v="2025-12-05T00:00:00"/>
        <d v="2025-12-11T00:00:00"/>
        <d v="2025-12-12T00:00:00"/>
        <d v="2025-12-16T00:00:00"/>
        <d v="2025-12-17T00:00:00"/>
        <d v="2025-12-19T00:00:00"/>
        <d v="2025-12-30T00:00:00"/>
        <d v="2026-01-09T00:00:00"/>
        <d v="2026-01-13T00:00:00"/>
        <d v="2026-02-02T00:00:00"/>
        <m/>
        <d v="2025-06-26T00:00:00" u="1"/>
      </sharedItems>
    </cacheField>
    <cacheField name="CONCEPTO" numFmtId="0">
      <sharedItems containsBlank="1" count="116">
        <s v="SALDO ANTERIOR"/>
        <s v="_x0009_GRENKE RENT, S.L.U."/>
        <s v="SECURITAS DIRECT"/>
        <s v="GRENKE RENT S.L.U."/>
        <s v="NEUROSINAIS"/>
        <s v="MERCACHINA"/>
        <s v="NEW CENTER"/>
        <s v="AMAZON"/>
        <s v="MIDETERGENTE"/>
        <s v="A. PINILLA"/>
        <s v="ANAYA"/>
        <s v="VICENS VIVES"/>
        <s v="ITINERANCIAS FEBREIRO PAMELA                         "/>
        <s v="ITINERANCIAS FEBREIRO CRISTINA                       "/>
        <s v="ITINERANCIAS XANEIRO PAMELA                          "/>
        <s v="ITINERANCIAS XANEIRO CRISTINA                        "/>
        <s v="CALENDARIOS ESTIÑO"/>
        <s v="ITINERANCIAS FEBREIRO NATI                           "/>
        <s v="ITINERANCIAS XANEIRO NATI                            "/>
        <s v="ITINERANCIAS FEBREIRO BEGONA                         "/>
        <s v="ITINERANCIAS XANEIRO BEGONA                          "/>
        <s v="E.S. GUNTIN"/>
        <s v="BOLANDA EDICIONES"/>
        <s v="VIAXE-COMIDA DIRECTOR SANTIAGO 20/0 3/25 "/>
        <s v="DEPARTAMENTO TERRITORIAL"/>
        <s v="BECA ALUMNO TRASLADADO"/>
        <s v="MARKET RAPISARDA"/>
        <s v="PRELO"/>
        <s v="SACAUNTOS"/>
        <s v="ITINERANCIAS CRISTINA MARZO 2025                     "/>
        <s v="ITINERANCIAS NATI MARZO 2025                         "/>
        <s v="ITINERANCIAS BEGONA MARZO 2025                       "/>
        <s v="GALINK"/>
        <s v="RESERVA AC. LUCUS AVENTURE"/>
        <s v="ITINERANCIAS ABRIL NATI"/>
        <s v="ITINERANCIAS ABRIL CRISTINA"/>
        <s v="ITINERANCIAS ABRIL BEGONA"/>
        <s v="EXCUR. 5º LUCUS AVENTUR"/>
        <s v="AUTOBUS 1º CICLO"/>
        <s v="RESERVA LUCUS AVENTUR"/>
        <s v="NEW CENTRE BAZAR MODA"/>
        <s v="ELSUNO"/>
        <s v="2º PAGO AC. LUCUS AVENTUR"/>
        <s v="LIDIA GOBERNA LAUREDA"/>
        <s v="DIETA 29/05"/>
        <s v="DIETA 29/06"/>
        <s v="DIETAS 26,27,28,29/06"/>
        <s v="HERCULES EDICIONES"/>
        <s v="GRAN BAZAR LIYONG"/>
        <s v="2º ABONO LUCUS AVENTUR 3º/4º"/>
        <s v="AUTOBUS E. INFANTIL"/>
        <s v="AUTOBÚS 3º/4º (BILLETES)"/>
        <s v="ESTURION GALICIA S.L."/>
        <s v="ITINERANCIAS MAIO CRISTINA"/>
        <s v="IITINERANCIAS MAIO NATI"/>
        <s v="ITINERANCIAS MAIO 2025 BEGONA"/>
        <s v="NEX CENTER BAZAR MODA"/>
        <s v="TECNIART"/>
        <s v="IRINDO"/>
        <s v="AUTOBÚS 3º/4º (MOEDAS)"/>
        <s v="LAURA MENDEZ"/>
        <s v="F. BUXARDA"/>
        <s v="ROSA A. FDEZ LAGAR"/>
        <s v="SONIA SUAREZ"/>
        <s v="LIBRERIA MAGO"/>
        <s v="VELAISCA"/>
        <s v="VINOSACRA"/>
        <s v="A. SANCHEZ"/>
        <s v="DIETAS conserxería"/>
        <s v="ITINERANCIAS XUÑO NATI"/>
        <s v="ITINERANCIAS XUÑO BEGOÑA"/>
        <s v="DECLARACIÓN IMPUESTOS"/>
        <s v="F. FERNANDEZ PEREZ"/>
        <s v="PEÑALARA SOFTWARE S.L."/>
        <s v="PAGO INCORRECTO NA CONTA COMEDOR"/>
        <s v="AUTOCARES DÍAZ"/>
        <s v="LIFE HOME"/>
        <s v="FERRETERIA VAZQUEZ"/>
        <s v="EM HOME"/>
        <s v="HERMEX IBERICA SL"/>
        <s v="FARMACIA JESÚS FERNANDEZ"/>
        <s v="Papeles Distrimar"/>
        <s v="TEN HOME"/>
        <s v="INVOICE"/>
        <s v="EXCURSION GALIPARK 2º CICLO"/>
        <s v="BECAS S G TESORO"/>
        <s v="VIAXE A MONFORTE MARÍA ISABEL MAZAIRA"/>
        <s v="ITACA S.L. SANTILLANA"/>
        <s v="VIAXE A LUGO XEFATURA E SECRETARÍA"/>
        <s v="PARKING LUGO"/>
        <s v="XORNAL PAPAGAIO"/>
        <s v="ALDI"/>
        <s v="LIDL"/>
        <s v="PERLADA"/>
        <s v="OBRAS TECNICAS E CAUSAS SOBREVIDAS COMEDOR"/>
        <s v="FONDO SOLIDARIO DE LIBROS EDIXGAL"/>
        <s v="PSICÓLOGA CRISTINA VIDAL"/>
        <s v="VIAXE NATI SANTIAGO"/>
        <s v="FRAGA DOS MOUROS"/>
        <s v="BAZAR CHINO"/>
        <s v="X.T CENTROS PIE 2025"/>
        <s v="NIASS EL BACHIR"/>
        <s v="STAR CHINA"/>
        <s v="JOSÉ LUIS RODRÍGUEZ BLANCO"/>
        <s v="GALICHIP"/>
        <s v="ANA BELEN LODEIRO TRILLO"/>
        <s v="ANA RODRÍGUEZ"/>
        <m/>
        <s v="JOSE LUIS RODRIGUEZ BLANCO" u="1"/>
        <s v="GRENKE RENT, S.L.U.                                  " u="1"/>
        <s v="SECURITAS DIRECT ESPAÑA S.A.U." u="1"/>
        <s v="AMAZON EU" u="1"/>
        <s v="SECURITAS DIRECT ESPANA S.A.U.                       " u="1"/>
        <s v="F.FERNANDEEZ PEREZ" u="1"/>
        <s v="SECURITAS DIRECT ESPANA S.A.U." u="1"/>
        <s v="LDL" u="1"/>
      </sharedItems>
    </cacheField>
    <cacheField name="DEBE" numFmtId="0">
      <sharedItems containsString="0" containsBlank="1" containsNumber="1" minValue="2.5499999999999998" maxValue="24247.41" count="153">
        <m/>
        <n v="577.16999999999996"/>
        <n v="76.540000000000006"/>
        <n v="126.86"/>
        <n v="120"/>
        <n v="150"/>
        <n v="11.28"/>
        <n v="10.98"/>
        <n v="6.35"/>
        <n v="6"/>
        <n v="13.59"/>
        <n v="10.9"/>
        <n v="171.24"/>
        <n v="375.44"/>
        <n v="21.33"/>
        <n v="67.97"/>
        <n v="38.58"/>
        <n v="22.88"/>
        <n v="123"/>
        <n v="28.89"/>
        <n v="2866.26"/>
        <n v="90"/>
        <n v="60"/>
        <n v="82"/>
        <n v="269.95"/>
        <n v="13.98"/>
        <n v="15.65"/>
        <n v="72"/>
        <n v="74.569999999999993"/>
        <n v="80.260000000000005"/>
        <n v="377"/>
        <n v="624"/>
        <n v="17.16"/>
        <n v="50.08"/>
        <n v="2226"/>
        <n v="16"/>
        <n v="4.95"/>
        <n v="1000"/>
        <n v="53.65"/>
        <n v="15"/>
        <n v="52"/>
        <n v="1294.76"/>
        <n v="85.58"/>
        <n v="66.77"/>
        <n v="9.25"/>
        <n v="437.29"/>
        <n v="107.82"/>
        <n v="98"/>
        <n v="347.5"/>
        <n v="310"/>
        <n v="148"/>
        <n v="314.5"/>
        <n v="557.5"/>
        <n v="1115"/>
        <n v="15.96"/>
        <n v="85"/>
        <n v="850"/>
        <n v="913"/>
        <n v="316.16000000000003"/>
        <n v="11.18"/>
        <n v="1009.75"/>
        <n v="560"/>
        <n v="264"/>
        <n v="1881"/>
        <n v="20"/>
        <n v="38.24"/>
        <n v="22.99"/>
        <n v="287.24"/>
        <n v="165"/>
        <n v="768.85"/>
        <n v="45.5"/>
        <n v="4801.2700000000004"/>
        <n v="263.83999999999997"/>
        <n v="17.79"/>
        <n v="16.45"/>
        <n v="144"/>
        <n v="36.75"/>
        <n v="9.7100000000000009"/>
        <n v="16.95"/>
        <n v="3652.36"/>
        <n v="6.5"/>
        <n v="12.1"/>
        <n v="163.80000000000001"/>
        <n v="408.19"/>
        <n v="704"/>
        <n v="88.77"/>
        <n v="72.599999999999994"/>
        <n v="145.9"/>
        <n v="8.4"/>
        <n v="83.25"/>
        <n v="164.58"/>
        <n v="80.11"/>
        <n v="297.12"/>
        <n v="7.22"/>
        <n v="12.4"/>
        <n v="11.99"/>
        <n v="17.98"/>
        <n v="143"/>
        <n v="400"/>
        <n v="300"/>
        <n v="15.6"/>
        <n v="48.34"/>
        <n v="198.02"/>
        <n v="140"/>
        <n v="35"/>
        <n v="30.16"/>
        <n v="2.5499999999999998"/>
        <n v="67"/>
        <n v="119.97"/>
        <n v="41.22"/>
        <n v="176"/>
        <n v="158.91999999999999"/>
        <n v="53.95"/>
        <n v="18182.05"/>
        <n v="384.05"/>
        <n v="214.26"/>
        <n v="7"/>
        <n v="46.28"/>
        <n v="110"/>
        <n v="3.93"/>
        <n v="95.99"/>
        <n v="11.75"/>
        <n v="29.94"/>
        <n v="40.479999999999997"/>
        <n v="74.510000000000005"/>
        <n v="235.44"/>
        <n v="30"/>
        <n v="50.7"/>
        <n v="150.9"/>
        <n v="265.29000000000002"/>
        <n v="177.15"/>
        <n v="175"/>
        <n v="105"/>
        <n v="20.9"/>
        <n v="16.8"/>
        <n v="42.3"/>
        <n v="19.3"/>
        <n v="20.100000000000001"/>
        <n v="19.600000000000001"/>
        <n v="474.9"/>
        <n v="87.54"/>
        <n v="137.84"/>
        <n v="108"/>
        <n v="975.5"/>
        <n v="989.3"/>
        <n v="78.989999999999995"/>
        <n v="390"/>
        <n v="36.51"/>
        <n v="153"/>
        <n v="610.70000000000005"/>
        <n v="24247.41" u="1"/>
        <n v="810" u="1"/>
        <n v="200" u="1"/>
      </sharedItems>
    </cacheField>
    <cacheField name="HABER" numFmtId="0">
      <sharedItems containsString="0" containsBlank="1" containsNumber="1" minValue="0" maxValue="85141.83" count="27">
        <n v="64080.83"/>
        <m/>
        <n v="123"/>
        <n v="8648"/>
        <n v="2226"/>
        <n v="1015"/>
        <n v="308"/>
        <n v="624"/>
        <n v="550"/>
        <n v="320"/>
        <n v="137"/>
        <n v="6486"/>
        <n v="577.16999999999996"/>
        <n v="841"/>
        <n v="861"/>
        <n v="1313"/>
        <n v="400"/>
        <n v="1030"/>
        <n v="4320"/>
        <n v="1000"/>
        <n v="6558"/>
        <n v="555"/>
        <n v="825"/>
        <n v="80"/>
        <n v="0" u="1"/>
        <n v="810" u="1"/>
        <n v="85141.83" u="1"/>
      </sharedItems>
    </cacheField>
    <cacheField name="I_G" numFmtId="0">
      <sharedItems containsBlank="1" containsMixedTypes="1" containsNumber="1" minValue="60894.42" maxValue="60894.42" count="4">
        <s v="I"/>
        <s v="G"/>
        <m/>
        <n v="60894.42" u="1"/>
      </sharedItems>
    </cacheField>
    <cacheField name="CODIGO" numFmtId="0">
      <sharedItems containsBlank="1" containsMixedTypes="1" containsNumber="1" containsInteger="1" minValue="11" maxValue="11" count="21">
        <s v="H"/>
        <s v="01"/>
        <s v="02"/>
        <s v="08"/>
        <s v="11"/>
        <s v="04.6"/>
        <s v="03"/>
        <s v="10"/>
        <s v="C"/>
        <s v="04.1"/>
        <s v="A1"/>
        <s v="B"/>
        <s v="A8"/>
        <s v="06"/>
        <s v="12"/>
        <s v="A3"/>
        <s v="07"/>
        <s v="A2"/>
        <s v="A5"/>
        <m/>
        <n v="11" u="1"/>
      </sharedItems>
    </cacheField>
    <cacheField name="Cod Decrip" numFmtId="0">
      <sharedItems containsBlank="1" containsMixedTypes="1" containsNumber="1" containsInteger="1" minValue="0" maxValue="0" count="21">
        <s v="SALDO ANTERIOR"/>
        <s v="Arredamientos"/>
        <s v="Reparacións"/>
        <s v="Prima de seguro"/>
        <s v="Gastos diversos"/>
        <s v="Outras Subministracións"/>
        <s v="Material de oficina"/>
        <s v="Axudas de custo e locomoción"/>
        <s v="Dotacións legados e subvencións"/>
        <s v="Gasoleo"/>
        <s v="Gastos de funcionamento"/>
        <s v="Dotacións UE-Outros organismos"/>
        <s v="Otros"/>
        <s v="Transporte"/>
        <s v="Mobiliario e utensilios inventariables"/>
        <s v="Dotación Biblioteca"/>
        <s v="Traballos realizados outras empresas"/>
        <s v="Fondo solidario libros"/>
        <s v="Fondos innovación"/>
        <m/>
        <n v="0" u="1"/>
      </sharedItems>
    </cacheField>
    <cacheField name="PERIODO" numFmtId="0">
      <sharedItems containsBlank="1" count="7">
        <s v=""/>
        <s v="1º TRIMESTRE"/>
        <s v="2024"/>
        <s v="2º TRIMESTRE"/>
        <s v="3º TRIMESTRE"/>
        <s v="4º TRIMESTRE"/>
        <m/>
      </sharedItems>
    </cacheField>
    <cacheField name="LIBRE" numFmtId="0">
      <sharedItems containsNonDate="0" containsString="0" containsBlank="1"/>
    </cacheField>
    <cacheField name="XUSTIFICA" numFmtId="0">
      <sharedItems containsBlank="1"/>
    </cacheField>
    <cacheField name="NOME" numFmtId="0">
      <sharedItems containsBlank="1"/>
    </cacheField>
    <cacheField name="EUROS" numFmtId="0">
      <sharedItems containsBlank="1"/>
    </cacheField>
    <cacheField name="DIA" numFmtId="0">
      <sharedItems containsBlank="1"/>
    </cacheField>
    <cacheField name="MES" numFmtId="0">
      <sharedItems containsBlank="1"/>
    </cacheField>
    <cacheField name="ANO" numFmtId="0">
      <sharedItems containsBlank="1"/>
    </cacheField>
    <cacheField name="CHEQUE" numFmtId="0">
      <sharedItems containsBlank="1"/>
    </cacheField>
    <cacheField name="IMPRIMI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x v="0"/>
    <x v="0"/>
    <x v="0"/>
    <x v="0"/>
    <x v="0"/>
    <x v="0"/>
    <x v="0"/>
    <x v="0"/>
    <m/>
    <s v=""/>
    <s v=""/>
    <s v=""/>
    <s v=""/>
    <s v=""/>
    <s v=""/>
    <s v=""/>
    <s v=""/>
  </r>
  <r>
    <x v="1"/>
    <x v="1"/>
    <x v="1"/>
    <x v="1"/>
    <x v="1"/>
    <x v="1"/>
    <x v="1"/>
    <x v="1"/>
    <x v="1"/>
    <m/>
    <s v="REPROGRAFIA"/>
    <s v=""/>
    <s v=""/>
    <s v=""/>
    <s v=""/>
    <s v=""/>
    <s v=""/>
    <s v=""/>
  </r>
  <r>
    <x v="2"/>
    <x v="2"/>
    <x v="2"/>
    <x v="2"/>
    <x v="1"/>
    <x v="1"/>
    <x v="2"/>
    <x v="2"/>
    <x v="1"/>
    <m/>
    <s v="ALARMA"/>
    <s v=""/>
    <s v=""/>
    <s v=""/>
    <s v=""/>
    <s v=""/>
    <s v=""/>
    <s v=""/>
  </r>
  <r>
    <x v="3"/>
    <x v="2"/>
    <x v="3"/>
    <x v="3"/>
    <x v="1"/>
    <x v="1"/>
    <x v="3"/>
    <x v="3"/>
    <x v="1"/>
    <m/>
    <s v="REPROGRAFIA"/>
    <s v=""/>
    <s v=""/>
    <s v=""/>
    <s v=""/>
    <s v=""/>
    <s v=""/>
    <s v=""/>
  </r>
  <r>
    <x v="4"/>
    <x v="3"/>
    <x v="2"/>
    <x v="2"/>
    <x v="1"/>
    <x v="1"/>
    <x v="2"/>
    <x v="2"/>
    <x v="1"/>
    <m/>
    <s v="ALARMA"/>
    <s v=""/>
    <s v=""/>
    <s v=""/>
    <s v=""/>
    <s v=""/>
    <s v=""/>
    <s v=""/>
  </r>
  <r>
    <x v="5"/>
    <x v="4"/>
    <x v="4"/>
    <x v="4"/>
    <x v="1"/>
    <x v="1"/>
    <x v="4"/>
    <x v="4"/>
    <x v="1"/>
    <m/>
    <s v="BECAS NEAE"/>
    <s v="ANDREA"/>
    <s v=""/>
    <s v=""/>
    <s v=""/>
    <s v=""/>
    <s v=""/>
    <s v=""/>
  </r>
  <r>
    <x v="6"/>
    <x v="4"/>
    <x v="4"/>
    <x v="5"/>
    <x v="1"/>
    <x v="1"/>
    <x v="4"/>
    <x v="4"/>
    <x v="1"/>
    <m/>
    <s v="BECAS NEAE"/>
    <s v="ROI"/>
    <s v=""/>
    <s v=""/>
    <s v=""/>
    <s v=""/>
    <s v=""/>
    <s v=""/>
  </r>
  <r>
    <x v="7"/>
    <x v="4"/>
    <x v="5"/>
    <x v="6"/>
    <x v="1"/>
    <x v="1"/>
    <x v="5"/>
    <x v="5"/>
    <x v="1"/>
    <m/>
    <s v="MATERIAL"/>
    <s v=""/>
    <s v=""/>
    <s v=""/>
    <s v=""/>
    <s v=""/>
    <s v=""/>
    <s v=""/>
  </r>
  <r>
    <x v="8"/>
    <x v="5"/>
    <x v="6"/>
    <x v="7"/>
    <x v="1"/>
    <x v="1"/>
    <x v="5"/>
    <x v="5"/>
    <x v="1"/>
    <m/>
    <s v=""/>
    <s v=""/>
    <s v=""/>
    <s v=""/>
    <s v=""/>
    <s v=""/>
    <s v=""/>
    <s v=""/>
  </r>
  <r>
    <x v="9"/>
    <x v="5"/>
    <x v="6"/>
    <x v="8"/>
    <x v="1"/>
    <x v="1"/>
    <x v="5"/>
    <x v="5"/>
    <x v="1"/>
    <m/>
    <s v=""/>
    <s v=""/>
    <s v=""/>
    <s v=""/>
    <s v=""/>
    <s v=""/>
    <s v=""/>
    <s v=""/>
  </r>
  <r>
    <x v="10"/>
    <x v="5"/>
    <x v="6"/>
    <x v="9"/>
    <x v="1"/>
    <x v="1"/>
    <x v="5"/>
    <x v="5"/>
    <x v="1"/>
    <m/>
    <s v=""/>
    <s v=""/>
    <s v=""/>
    <s v=""/>
    <s v=""/>
    <s v=""/>
    <s v=""/>
    <s v=""/>
  </r>
  <r>
    <x v="11"/>
    <x v="5"/>
    <x v="7"/>
    <x v="10"/>
    <x v="1"/>
    <x v="1"/>
    <x v="6"/>
    <x v="6"/>
    <x v="1"/>
    <m/>
    <s v=""/>
    <s v=""/>
    <s v=""/>
    <s v=""/>
    <s v=""/>
    <s v=""/>
    <s v=""/>
    <s v=""/>
  </r>
  <r>
    <x v="12"/>
    <x v="5"/>
    <x v="7"/>
    <x v="11"/>
    <x v="1"/>
    <x v="1"/>
    <x v="6"/>
    <x v="6"/>
    <x v="1"/>
    <m/>
    <s v=""/>
    <s v=""/>
    <s v=""/>
    <s v=""/>
    <s v=""/>
    <s v=""/>
    <s v=""/>
    <s v=""/>
  </r>
  <r>
    <x v="13"/>
    <x v="5"/>
    <x v="8"/>
    <x v="12"/>
    <x v="1"/>
    <x v="1"/>
    <x v="4"/>
    <x v="4"/>
    <x v="1"/>
    <m/>
    <s v=""/>
    <s v=""/>
    <s v=""/>
    <s v=""/>
    <s v=""/>
    <s v=""/>
    <s v=""/>
    <s v=""/>
  </r>
  <r>
    <x v="14"/>
    <x v="5"/>
    <x v="9"/>
    <x v="13"/>
    <x v="1"/>
    <x v="1"/>
    <x v="5"/>
    <x v="5"/>
    <x v="1"/>
    <m/>
    <s v=""/>
    <s v=""/>
    <s v=""/>
    <s v=""/>
    <s v=""/>
    <s v=""/>
    <s v=""/>
    <s v=""/>
  </r>
  <r>
    <x v="15"/>
    <x v="5"/>
    <x v="10"/>
    <x v="14"/>
    <x v="1"/>
    <x v="1"/>
    <x v="5"/>
    <x v="5"/>
    <x v="1"/>
    <m/>
    <s v="PLAMBE-FONDOS"/>
    <s v=""/>
    <s v=""/>
    <s v=""/>
    <s v=""/>
    <s v=""/>
    <s v=""/>
    <s v=""/>
  </r>
  <r>
    <x v="16"/>
    <x v="5"/>
    <x v="11"/>
    <x v="15"/>
    <x v="1"/>
    <x v="1"/>
    <x v="5"/>
    <x v="5"/>
    <x v="2"/>
    <m/>
    <s v="PLAMBE-FONDOS"/>
    <s v=""/>
    <s v=""/>
    <s v=""/>
    <s v=""/>
    <s v=""/>
    <s v=""/>
    <s v=""/>
  </r>
  <r>
    <x v="17"/>
    <x v="6"/>
    <x v="12"/>
    <x v="16"/>
    <x v="1"/>
    <x v="1"/>
    <x v="7"/>
    <x v="7"/>
    <x v="1"/>
    <m/>
    <s v=""/>
    <s v=""/>
    <s v=""/>
    <s v=""/>
    <s v=""/>
    <s v=""/>
    <s v=""/>
    <s v=""/>
  </r>
  <r>
    <x v="18"/>
    <x v="6"/>
    <x v="13"/>
    <x v="16"/>
    <x v="1"/>
    <x v="1"/>
    <x v="7"/>
    <x v="7"/>
    <x v="1"/>
    <m/>
    <s v=""/>
    <s v=""/>
    <s v=""/>
    <s v=""/>
    <s v=""/>
    <s v=""/>
    <s v=""/>
    <s v=""/>
  </r>
  <r>
    <x v="19"/>
    <x v="6"/>
    <x v="14"/>
    <x v="16"/>
    <x v="1"/>
    <x v="1"/>
    <x v="7"/>
    <x v="7"/>
    <x v="1"/>
    <m/>
    <s v=""/>
    <s v=""/>
    <s v=""/>
    <s v=""/>
    <s v=""/>
    <s v=""/>
    <s v=""/>
    <s v=""/>
  </r>
  <r>
    <x v="20"/>
    <x v="6"/>
    <x v="15"/>
    <x v="16"/>
    <x v="1"/>
    <x v="1"/>
    <x v="7"/>
    <x v="7"/>
    <x v="1"/>
    <m/>
    <s v=""/>
    <s v=""/>
    <s v=""/>
    <s v=""/>
    <s v=""/>
    <s v=""/>
    <s v=""/>
    <s v=""/>
  </r>
  <r>
    <x v="21"/>
    <x v="7"/>
    <x v="16"/>
    <x v="0"/>
    <x v="2"/>
    <x v="0"/>
    <x v="8"/>
    <x v="8"/>
    <x v="1"/>
    <m/>
    <s v=""/>
    <s v=""/>
    <s v=""/>
    <s v=""/>
    <s v=""/>
    <s v=""/>
    <s v=""/>
    <s v=""/>
  </r>
  <r>
    <x v="22"/>
    <x v="8"/>
    <x v="2"/>
    <x v="2"/>
    <x v="1"/>
    <x v="1"/>
    <x v="2"/>
    <x v="2"/>
    <x v="1"/>
    <m/>
    <s v=""/>
    <s v=""/>
    <s v=""/>
    <s v=""/>
    <s v=""/>
    <s v=""/>
    <s v=""/>
    <s v=""/>
  </r>
  <r>
    <x v="23"/>
    <x v="8"/>
    <x v="17"/>
    <x v="17"/>
    <x v="1"/>
    <x v="1"/>
    <x v="7"/>
    <x v="7"/>
    <x v="1"/>
    <m/>
    <s v=""/>
    <s v=""/>
    <s v=""/>
    <s v=""/>
    <s v=""/>
    <s v=""/>
    <s v=""/>
    <s v=""/>
  </r>
  <r>
    <x v="24"/>
    <x v="8"/>
    <x v="18"/>
    <x v="17"/>
    <x v="1"/>
    <x v="1"/>
    <x v="7"/>
    <x v="7"/>
    <x v="1"/>
    <m/>
    <s v=""/>
    <s v=""/>
    <s v=""/>
    <s v=""/>
    <s v=""/>
    <s v=""/>
    <s v=""/>
    <s v=""/>
  </r>
  <r>
    <x v="25"/>
    <x v="8"/>
    <x v="19"/>
    <x v="17"/>
    <x v="1"/>
    <x v="1"/>
    <x v="7"/>
    <x v="7"/>
    <x v="1"/>
    <m/>
    <s v=""/>
    <s v=""/>
    <s v=""/>
    <s v=""/>
    <s v=""/>
    <s v=""/>
    <s v=""/>
    <s v=""/>
  </r>
  <r>
    <x v="26"/>
    <x v="8"/>
    <x v="20"/>
    <x v="17"/>
    <x v="1"/>
    <x v="1"/>
    <x v="7"/>
    <x v="7"/>
    <x v="1"/>
    <m/>
    <s v=""/>
    <s v=""/>
    <s v=""/>
    <s v=""/>
    <s v=""/>
    <s v=""/>
    <s v=""/>
    <s v=""/>
  </r>
  <r>
    <x v="27"/>
    <x v="8"/>
    <x v="16"/>
    <x v="18"/>
    <x v="1"/>
    <x v="1"/>
    <x v="4"/>
    <x v="4"/>
    <x v="1"/>
    <m/>
    <s v=""/>
    <s v=""/>
    <s v=""/>
    <s v=""/>
    <s v=""/>
    <s v=""/>
    <s v=""/>
    <s v=""/>
  </r>
  <r>
    <x v="28"/>
    <x v="9"/>
    <x v="7"/>
    <x v="19"/>
    <x v="1"/>
    <x v="1"/>
    <x v="5"/>
    <x v="5"/>
    <x v="1"/>
    <m/>
    <s v=""/>
    <s v=""/>
    <s v=""/>
    <s v=""/>
    <s v=""/>
    <s v=""/>
    <s v=""/>
    <s v=""/>
  </r>
  <r>
    <x v="29"/>
    <x v="9"/>
    <x v="21"/>
    <x v="20"/>
    <x v="1"/>
    <x v="1"/>
    <x v="9"/>
    <x v="9"/>
    <x v="1"/>
    <m/>
    <s v=""/>
    <s v=""/>
    <s v=""/>
    <s v=""/>
    <s v=""/>
    <s v=""/>
    <s v=""/>
    <s v=""/>
  </r>
  <r>
    <x v="30"/>
    <x v="9"/>
    <x v="4"/>
    <x v="21"/>
    <x v="1"/>
    <x v="1"/>
    <x v="4"/>
    <x v="4"/>
    <x v="1"/>
    <m/>
    <s v="BECAS NEAE"/>
    <s v="ANDREA"/>
    <s v=""/>
    <s v=""/>
    <s v=""/>
    <s v=""/>
    <s v=""/>
    <s v=""/>
  </r>
  <r>
    <x v="31"/>
    <x v="9"/>
    <x v="4"/>
    <x v="21"/>
    <x v="1"/>
    <x v="1"/>
    <x v="4"/>
    <x v="4"/>
    <x v="1"/>
    <m/>
    <s v="BECAS NEAE"/>
    <s v="ROI"/>
    <s v=""/>
    <s v=""/>
    <s v=""/>
    <s v=""/>
    <s v=""/>
    <s v=""/>
  </r>
  <r>
    <x v="32"/>
    <x v="10"/>
    <x v="22"/>
    <x v="22"/>
    <x v="1"/>
    <x v="1"/>
    <x v="5"/>
    <x v="5"/>
    <x v="1"/>
    <m/>
    <s v="PLAMBE-FONDOS"/>
    <s v=""/>
    <s v=""/>
    <s v=""/>
    <s v=""/>
    <s v=""/>
    <s v=""/>
    <s v=""/>
  </r>
  <r>
    <x v="33"/>
    <x v="10"/>
    <x v="23"/>
    <x v="23"/>
    <x v="1"/>
    <x v="1"/>
    <x v="7"/>
    <x v="7"/>
    <x v="1"/>
    <m/>
    <s v=""/>
    <s v=""/>
    <s v=""/>
    <s v=""/>
    <s v=""/>
    <s v=""/>
    <s v=""/>
    <s v=""/>
  </r>
  <r>
    <x v="34"/>
    <x v="11"/>
    <x v="2"/>
    <x v="2"/>
    <x v="1"/>
    <x v="1"/>
    <x v="2"/>
    <x v="2"/>
    <x v="3"/>
    <m/>
    <s v=""/>
    <s v=""/>
    <s v=""/>
    <s v=""/>
    <s v=""/>
    <s v=""/>
    <s v=""/>
    <s v=""/>
  </r>
  <r>
    <x v="35"/>
    <x v="11"/>
    <x v="3"/>
    <x v="1"/>
    <x v="1"/>
    <x v="1"/>
    <x v="1"/>
    <x v="1"/>
    <x v="3"/>
    <m/>
    <s v=""/>
    <s v=""/>
    <s v=""/>
    <s v=""/>
    <s v=""/>
    <s v=""/>
    <s v=""/>
    <s v=""/>
  </r>
  <r>
    <x v="36"/>
    <x v="12"/>
    <x v="24"/>
    <x v="0"/>
    <x v="3"/>
    <x v="0"/>
    <x v="10"/>
    <x v="10"/>
    <x v="3"/>
    <m/>
    <s v=""/>
    <s v=""/>
    <s v=""/>
    <s v=""/>
    <s v=""/>
    <s v=""/>
    <s v=""/>
    <s v=""/>
  </r>
  <r>
    <x v="37"/>
    <x v="13"/>
    <x v="25"/>
    <x v="0"/>
    <x v="4"/>
    <x v="0"/>
    <x v="11"/>
    <x v="11"/>
    <x v="3"/>
    <m/>
    <s v=""/>
    <s v=""/>
    <s v=""/>
    <s v=""/>
    <s v=""/>
    <s v=""/>
    <s v=""/>
    <s v=""/>
  </r>
  <r>
    <x v="38"/>
    <x v="14"/>
    <x v="4"/>
    <x v="22"/>
    <x v="1"/>
    <x v="1"/>
    <x v="4"/>
    <x v="4"/>
    <x v="1"/>
    <m/>
    <s v="BECAS NEAE"/>
    <s v="CANDELA"/>
    <s v=""/>
    <s v=""/>
    <s v=""/>
    <s v=""/>
    <s v=""/>
    <s v=""/>
  </r>
  <r>
    <x v="39"/>
    <x v="14"/>
    <x v="4"/>
    <x v="21"/>
    <x v="1"/>
    <x v="1"/>
    <x v="4"/>
    <x v="4"/>
    <x v="1"/>
    <m/>
    <s v="BECAS NEAE"/>
    <s v="ROI"/>
    <s v=""/>
    <s v=""/>
    <s v=""/>
    <s v=""/>
    <s v=""/>
    <s v=""/>
  </r>
  <r>
    <x v="40"/>
    <x v="14"/>
    <x v="4"/>
    <x v="4"/>
    <x v="1"/>
    <x v="1"/>
    <x v="4"/>
    <x v="4"/>
    <x v="1"/>
    <m/>
    <s v="BECAS NEAE"/>
    <s v="ANDREA"/>
    <s v=""/>
    <s v=""/>
    <s v=""/>
    <s v=""/>
    <s v=""/>
    <s v=""/>
  </r>
  <r>
    <x v="41"/>
    <x v="14"/>
    <x v="8"/>
    <x v="24"/>
    <x v="1"/>
    <x v="1"/>
    <x v="4"/>
    <x v="4"/>
    <x v="3"/>
    <m/>
    <s v=""/>
    <s v=""/>
    <s v=""/>
    <s v=""/>
    <s v=""/>
    <s v=""/>
    <s v=""/>
    <s v=""/>
  </r>
  <r>
    <x v="42"/>
    <x v="14"/>
    <x v="26"/>
    <x v="25"/>
    <x v="1"/>
    <x v="1"/>
    <x v="5"/>
    <x v="5"/>
    <x v="3"/>
    <m/>
    <s v=""/>
    <s v=""/>
    <s v=""/>
    <s v=""/>
    <s v=""/>
    <s v=""/>
    <s v=""/>
    <s v=""/>
  </r>
  <r>
    <x v="43"/>
    <x v="15"/>
    <x v="27"/>
    <x v="26"/>
    <x v="1"/>
    <x v="1"/>
    <x v="5"/>
    <x v="5"/>
    <x v="3"/>
    <m/>
    <s v=""/>
    <s v=""/>
    <s v=""/>
    <s v=""/>
    <s v=""/>
    <s v=""/>
    <s v=""/>
    <s v=""/>
  </r>
  <r>
    <x v="44"/>
    <x v="15"/>
    <x v="28"/>
    <x v="27"/>
    <x v="1"/>
    <x v="1"/>
    <x v="5"/>
    <x v="5"/>
    <x v="3"/>
    <m/>
    <s v="PLAMBE-FONDOS"/>
    <s v=""/>
    <s v=""/>
    <s v=""/>
    <s v=""/>
    <s v=""/>
    <s v=""/>
    <s v=""/>
  </r>
  <r>
    <x v="45"/>
    <x v="15"/>
    <x v="29"/>
    <x v="28"/>
    <x v="1"/>
    <x v="1"/>
    <x v="7"/>
    <x v="7"/>
    <x v="3"/>
    <m/>
    <s v=""/>
    <s v=""/>
    <s v=""/>
    <s v=""/>
    <s v=""/>
    <s v=""/>
    <s v=""/>
    <s v=""/>
  </r>
  <r>
    <x v="46"/>
    <x v="15"/>
    <x v="30"/>
    <x v="17"/>
    <x v="1"/>
    <x v="1"/>
    <x v="7"/>
    <x v="7"/>
    <x v="3"/>
    <m/>
    <s v=""/>
    <s v=""/>
    <s v=""/>
    <s v=""/>
    <s v=""/>
    <s v=""/>
    <s v=""/>
    <s v=""/>
  </r>
  <r>
    <x v="47"/>
    <x v="15"/>
    <x v="31"/>
    <x v="17"/>
    <x v="1"/>
    <x v="1"/>
    <x v="7"/>
    <x v="7"/>
    <x v="3"/>
    <m/>
    <s v=""/>
    <s v=""/>
    <s v=""/>
    <s v=""/>
    <s v=""/>
    <s v=""/>
    <s v=""/>
    <s v=""/>
  </r>
  <r>
    <x v="48"/>
    <x v="16"/>
    <x v="2"/>
    <x v="2"/>
    <x v="1"/>
    <x v="1"/>
    <x v="2"/>
    <x v="2"/>
    <x v="3"/>
    <m/>
    <s v=""/>
    <s v=""/>
    <s v=""/>
    <s v=""/>
    <s v=""/>
    <s v=""/>
    <s v=""/>
    <s v=""/>
  </r>
  <r>
    <x v="49"/>
    <x v="17"/>
    <x v="32"/>
    <x v="29"/>
    <x v="1"/>
    <x v="1"/>
    <x v="4"/>
    <x v="4"/>
    <x v="3"/>
    <m/>
    <s v="DESENVOLVEMENTO PROGRAMA EDUCACIÓN DIXITAL 2024"/>
    <s v=""/>
    <s v=""/>
    <s v=""/>
    <s v=""/>
    <s v=""/>
    <s v=""/>
    <s v=""/>
  </r>
  <r>
    <x v="50"/>
    <x v="17"/>
    <x v="33"/>
    <x v="30"/>
    <x v="1"/>
    <x v="1"/>
    <x v="4"/>
    <x v="4"/>
    <x v="3"/>
    <m/>
    <s v=""/>
    <s v=""/>
    <s v=""/>
    <s v=""/>
    <s v=""/>
    <s v=""/>
    <s v=""/>
    <s v=""/>
  </r>
  <r>
    <x v="51"/>
    <x v="17"/>
    <x v="33"/>
    <x v="31"/>
    <x v="1"/>
    <x v="1"/>
    <x v="4"/>
    <x v="4"/>
    <x v="3"/>
    <m/>
    <s v=""/>
    <s v=""/>
    <s v=""/>
    <s v=""/>
    <s v=""/>
    <s v=""/>
    <s v=""/>
    <s v=""/>
  </r>
  <r>
    <x v="52"/>
    <x v="17"/>
    <x v="34"/>
    <x v="32"/>
    <x v="1"/>
    <x v="1"/>
    <x v="7"/>
    <x v="7"/>
    <x v="3"/>
    <m/>
    <s v=""/>
    <s v=""/>
    <s v=""/>
    <s v=""/>
    <s v=""/>
    <s v=""/>
    <s v=""/>
    <s v=""/>
  </r>
  <r>
    <x v="53"/>
    <x v="17"/>
    <x v="35"/>
    <x v="33"/>
    <x v="1"/>
    <x v="1"/>
    <x v="7"/>
    <x v="7"/>
    <x v="3"/>
    <m/>
    <s v=""/>
    <s v=""/>
    <s v=""/>
    <s v=""/>
    <s v=""/>
    <s v=""/>
    <s v=""/>
    <s v=""/>
  </r>
  <r>
    <x v="54"/>
    <x v="17"/>
    <x v="36"/>
    <x v="32"/>
    <x v="1"/>
    <x v="1"/>
    <x v="7"/>
    <x v="7"/>
    <x v="3"/>
    <m/>
    <s v=""/>
    <s v=""/>
    <s v=""/>
    <s v=""/>
    <s v=""/>
    <s v=""/>
    <s v=""/>
    <s v=""/>
  </r>
  <r>
    <x v="55"/>
    <x v="17"/>
    <x v="25"/>
    <x v="34"/>
    <x v="1"/>
    <x v="1"/>
    <x v="4"/>
    <x v="4"/>
    <x v="3"/>
    <m/>
    <s v=""/>
    <s v=""/>
    <s v=""/>
    <s v=""/>
    <s v=""/>
    <s v=""/>
    <s v=""/>
    <s v=""/>
  </r>
  <r>
    <x v="56"/>
    <x v="17"/>
    <x v="4"/>
    <x v="21"/>
    <x v="1"/>
    <x v="1"/>
    <x v="4"/>
    <x v="4"/>
    <x v="3"/>
    <m/>
    <s v="BECAS NEAE"/>
    <s v="ANDREA"/>
    <s v=""/>
    <s v=""/>
    <s v=""/>
    <s v=""/>
    <s v=""/>
    <s v=""/>
  </r>
  <r>
    <x v="57"/>
    <x v="17"/>
    <x v="4"/>
    <x v="4"/>
    <x v="1"/>
    <x v="1"/>
    <x v="4"/>
    <x v="4"/>
    <x v="3"/>
    <m/>
    <s v="BECAS NEAE"/>
    <s v="ROI"/>
    <s v=""/>
    <s v=""/>
    <s v=""/>
    <s v=""/>
    <s v=""/>
    <s v=""/>
  </r>
  <r>
    <x v="58"/>
    <x v="18"/>
    <x v="37"/>
    <x v="0"/>
    <x v="5"/>
    <x v="0"/>
    <x v="8"/>
    <x v="8"/>
    <x v="3"/>
    <m/>
    <s v=""/>
    <s v=""/>
    <s v=""/>
    <s v=""/>
    <s v=""/>
    <s v=""/>
    <s v=""/>
    <s v=""/>
  </r>
  <r>
    <x v="59"/>
    <x v="18"/>
    <x v="38"/>
    <x v="0"/>
    <x v="6"/>
    <x v="0"/>
    <x v="8"/>
    <x v="8"/>
    <x v="3"/>
    <m/>
    <s v=""/>
    <s v=""/>
    <s v=""/>
    <s v=""/>
    <s v=""/>
    <s v=""/>
    <s v=""/>
    <s v=""/>
  </r>
  <r>
    <x v="60"/>
    <x v="18"/>
    <x v="39"/>
    <x v="0"/>
    <x v="7"/>
    <x v="0"/>
    <x v="8"/>
    <x v="8"/>
    <x v="3"/>
    <m/>
    <s v=""/>
    <s v=""/>
    <s v=""/>
    <s v=""/>
    <s v=""/>
    <s v=""/>
    <s v=""/>
    <s v=""/>
  </r>
  <r>
    <x v="61"/>
    <x v="19"/>
    <x v="40"/>
    <x v="35"/>
    <x v="1"/>
    <x v="1"/>
    <x v="5"/>
    <x v="5"/>
    <x v="3"/>
    <m/>
    <s v=""/>
    <s v=""/>
    <s v=""/>
    <s v=""/>
    <s v=""/>
    <s v=""/>
    <s v=""/>
    <s v=""/>
  </r>
  <r>
    <x v="62"/>
    <x v="19"/>
    <x v="40"/>
    <x v="36"/>
    <x v="1"/>
    <x v="1"/>
    <x v="5"/>
    <x v="5"/>
    <x v="3"/>
    <m/>
    <s v=""/>
    <s v=""/>
    <s v=""/>
    <s v=""/>
    <s v=""/>
    <s v=""/>
    <s v=""/>
    <s v=""/>
  </r>
  <r>
    <x v="63"/>
    <x v="19"/>
    <x v="41"/>
    <x v="37"/>
    <x v="1"/>
    <x v="1"/>
    <x v="4"/>
    <x v="4"/>
    <x v="3"/>
    <m/>
    <s v="CENTROS PIE 2024"/>
    <s v=""/>
    <s v=""/>
    <s v=""/>
    <s v=""/>
    <s v=""/>
    <s v=""/>
    <s v=""/>
  </r>
  <r>
    <x v="64"/>
    <x v="20"/>
    <x v="42"/>
    <x v="30"/>
    <x v="1"/>
    <x v="1"/>
    <x v="4"/>
    <x v="4"/>
    <x v="3"/>
    <m/>
    <s v=""/>
    <s v=""/>
    <s v=""/>
    <s v=""/>
    <s v=""/>
    <s v=""/>
    <s v=""/>
    <s v=""/>
  </r>
  <r>
    <x v="65"/>
    <x v="20"/>
    <x v="43"/>
    <x v="38"/>
    <x v="1"/>
    <x v="1"/>
    <x v="5"/>
    <x v="5"/>
    <x v="3"/>
    <m/>
    <s v=""/>
    <s v=""/>
    <s v=""/>
    <s v=""/>
    <s v=""/>
    <s v=""/>
    <s v=""/>
    <s v=""/>
  </r>
  <r>
    <x v="66"/>
    <x v="21"/>
    <x v="4"/>
    <x v="4"/>
    <x v="1"/>
    <x v="1"/>
    <x v="4"/>
    <x v="4"/>
    <x v="3"/>
    <m/>
    <s v="BECAS NEAE"/>
    <s v="ANDREA"/>
    <s v=""/>
    <s v=""/>
    <s v=""/>
    <s v=""/>
    <s v=""/>
    <s v=""/>
  </r>
  <r>
    <x v="67"/>
    <x v="21"/>
    <x v="4"/>
    <x v="4"/>
    <x v="1"/>
    <x v="1"/>
    <x v="4"/>
    <x v="4"/>
    <x v="3"/>
    <m/>
    <s v="BECAS NEAE"/>
    <s v="ROI"/>
    <s v=""/>
    <s v=""/>
    <s v=""/>
    <s v=""/>
    <s v=""/>
    <s v=""/>
  </r>
  <r>
    <x v="68"/>
    <x v="21"/>
    <x v="42"/>
    <x v="31"/>
    <x v="1"/>
    <x v="1"/>
    <x v="4"/>
    <x v="4"/>
    <x v="3"/>
    <m/>
    <s v=""/>
    <s v=""/>
    <s v=""/>
    <s v=""/>
    <s v=""/>
    <s v=""/>
    <s v=""/>
    <s v=""/>
  </r>
  <r>
    <x v="69"/>
    <x v="21"/>
    <x v="44"/>
    <x v="39"/>
    <x v="1"/>
    <x v="1"/>
    <x v="4"/>
    <x v="4"/>
    <x v="3"/>
    <m/>
    <s v=""/>
    <s v=""/>
    <s v=""/>
    <s v=""/>
    <s v=""/>
    <s v=""/>
    <s v=""/>
    <s v=""/>
  </r>
  <r>
    <x v="70"/>
    <x v="21"/>
    <x v="45"/>
    <x v="39"/>
    <x v="1"/>
    <x v="1"/>
    <x v="4"/>
    <x v="4"/>
    <x v="3"/>
    <m/>
    <s v=""/>
    <s v=""/>
    <s v=""/>
    <s v=""/>
    <s v=""/>
    <s v=""/>
    <s v=""/>
    <s v=""/>
  </r>
  <r>
    <x v="71"/>
    <x v="21"/>
    <x v="46"/>
    <x v="22"/>
    <x v="1"/>
    <x v="1"/>
    <x v="4"/>
    <x v="4"/>
    <x v="3"/>
    <m/>
    <s v=""/>
    <s v=""/>
    <s v=""/>
    <s v=""/>
    <s v=""/>
    <s v=""/>
    <s v=""/>
    <s v=""/>
  </r>
  <r>
    <x v="72"/>
    <x v="21"/>
    <x v="46"/>
    <x v="22"/>
    <x v="1"/>
    <x v="1"/>
    <x v="4"/>
    <x v="4"/>
    <x v="3"/>
    <m/>
    <s v=""/>
    <s v=""/>
    <s v=""/>
    <s v=""/>
    <s v=""/>
    <s v=""/>
    <s v=""/>
    <s v=""/>
  </r>
  <r>
    <x v="73"/>
    <x v="21"/>
    <x v="47"/>
    <x v="40"/>
    <x v="1"/>
    <x v="1"/>
    <x v="4"/>
    <x v="4"/>
    <x v="3"/>
    <m/>
    <s v="PLAMBE-FONDOS"/>
    <s v=""/>
    <s v=""/>
    <s v=""/>
    <s v=""/>
    <s v=""/>
    <s v=""/>
    <s v=""/>
  </r>
  <r>
    <x v="74"/>
    <x v="21"/>
    <x v="48"/>
    <x v="11"/>
    <x v="1"/>
    <x v="1"/>
    <x v="5"/>
    <x v="5"/>
    <x v="3"/>
    <m/>
    <s v=""/>
    <s v=""/>
    <s v=""/>
    <s v=""/>
    <s v=""/>
    <s v=""/>
    <s v=""/>
    <s v=""/>
  </r>
  <r>
    <x v="75"/>
    <x v="22"/>
    <x v="2"/>
    <x v="2"/>
    <x v="1"/>
    <x v="1"/>
    <x v="2"/>
    <x v="2"/>
    <x v="3"/>
    <m/>
    <s v=""/>
    <s v=""/>
    <s v=""/>
    <s v=""/>
    <s v=""/>
    <s v=""/>
    <s v=""/>
    <s v=""/>
  </r>
  <r>
    <x v="76"/>
    <x v="22"/>
    <x v="49"/>
    <x v="0"/>
    <x v="7"/>
    <x v="0"/>
    <x v="8"/>
    <x v="8"/>
    <x v="3"/>
    <m/>
    <s v=""/>
    <s v=""/>
    <s v=""/>
    <s v=""/>
    <s v=""/>
    <s v=""/>
    <s v=""/>
    <s v=""/>
  </r>
  <r>
    <x v="77"/>
    <x v="22"/>
    <x v="50"/>
    <x v="0"/>
    <x v="8"/>
    <x v="0"/>
    <x v="8"/>
    <x v="8"/>
    <x v="3"/>
    <m/>
    <s v=""/>
    <s v=""/>
    <s v=""/>
    <s v=""/>
    <s v=""/>
    <s v=""/>
    <s v=""/>
    <s v=""/>
  </r>
  <r>
    <x v="78"/>
    <x v="22"/>
    <x v="51"/>
    <x v="0"/>
    <x v="9"/>
    <x v="0"/>
    <x v="8"/>
    <x v="8"/>
    <x v="3"/>
    <m/>
    <s v=""/>
    <s v=""/>
    <s v=""/>
    <s v=""/>
    <s v=""/>
    <s v=""/>
    <s v=""/>
    <s v=""/>
  </r>
  <r>
    <x v="79"/>
    <x v="23"/>
    <x v="52"/>
    <x v="41"/>
    <x v="1"/>
    <x v="1"/>
    <x v="1"/>
    <x v="1"/>
    <x v="3"/>
    <m/>
    <s v=""/>
    <s v=""/>
    <s v=""/>
    <s v=""/>
    <s v=""/>
    <s v=""/>
    <s v=""/>
    <s v=""/>
  </r>
  <r>
    <x v="80"/>
    <x v="24"/>
    <x v="10"/>
    <x v="42"/>
    <x v="1"/>
    <x v="1"/>
    <x v="4"/>
    <x v="4"/>
    <x v="3"/>
    <m/>
    <s v="PLAMBE-FONDOS"/>
    <s v=""/>
    <s v=""/>
    <s v=""/>
    <s v=""/>
    <s v=""/>
    <s v=""/>
    <s v=""/>
  </r>
  <r>
    <x v="81"/>
    <x v="24"/>
    <x v="53"/>
    <x v="43"/>
    <x v="1"/>
    <x v="1"/>
    <x v="7"/>
    <x v="7"/>
    <x v="3"/>
    <m/>
    <s v=""/>
    <s v=""/>
    <s v=""/>
    <s v=""/>
    <s v=""/>
    <s v=""/>
    <s v=""/>
    <s v=""/>
  </r>
  <r>
    <x v="82"/>
    <x v="24"/>
    <x v="54"/>
    <x v="17"/>
    <x v="1"/>
    <x v="1"/>
    <x v="7"/>
    <x v="7"/>
    <x v="3"/>
    <m/>
    <s v=""/>
    <s v=""/>
    <s v=""/>
    <s v=""/>
    <s v=""/>
    <s v=""/>
    <s v=""/>
    <s v=""/>
  </r>
  <r>
    <x v="83"/>
    <x v="24"/>
    <x v="55"/>
    <x v="17"/>
    <x v="1"/>
    <x v="1"/>
    <x v="7"/>
    <x v="7"/>
    <x v="3"/>
    <m/>
    <s v=""/>
    <s v=""/>
    <s v=""/>
    <s v=""/>
    <s v=""/>
    <s v=""/>
    <s v=""/>
    <s v=""/>
  </r>
  <r>
    <x v="84"/>
    <x v="24"/>
    <x v="56"/>
    <x v="44"/>
    <x v="1"/>
    <x v="1"/>
    <x v="5"/>
    <x v="5"/>
    <x v="3"/>
    <m/>
    <s v=""/>
    <s v=""/>
    <s v=""/>
    <s v=""/>
    <s v=""/>
    <s v=""/>
    <s v=""/>
    <s v=""/>
  </r>
  <r>
    <x v="85"/>
    <x v="24"/>
    <x v="57"/>
    <x v="45"/>
    <x v="1"/>
    <x v="1"/>
    <x v="4"/>
    <x v="4"/>
    <x v="3"/>
    <m/>
    <s v="PLAMBE-FONDOS"/>
    <s v=""/>
    <s v=""/>
    <s v=""/>
    <s v=""/>
    <s v=""/>
    <s v=""/>
    <s v=""/>
  </r>
  <r>
    <x v="86"/>
    <x v="24"/>
    <x v="11"/>
    <x v="46"/>
    <x v="1"/>
    <x v="1"/>
    <x v="4"/>
    <x v="4"/>
    <x v="3"/>
    <m/>
    <s v="PLAMBE-FONDOS"/>
    <s v=""/>
    <s v=""/>
    <s v=""/>
    <s v=""/>
    <s v=""/>
    <s v=""/>
    <s v=""/>
  </r>
  <r>
    <x v="87"/>
    <x v="24"/>
    <x v="58"/>
    <x v="47"/>
    <x v="1"/>
    <x v="1"/>
    <x v="4"/>
    <x v="4"/>
    <x v="3"/>
    <m/>
    <s v="PLAMBE-FONDOS"/>
    <s v=""/>
    <s v=""/>
    <s v=""/>
    <s v=""/>
    <s v=""/>
    <s v=""/>
    <s v=""/>
  </r>
  <r>
    <x v="88"/>
    <x v="25"/>
    <x v="59"/>
    <x v="0"/>
    <x v="10"/>
    <x v="0"/>
    <x v="8"/>
    <x v="8"/>
    <x v="3"/>
    <m/>
    <s v=""/>
    <s v=""/>
    <s v=""/>
    <s v=""/>
    <s v=""/>
    <s v=""/>
    <s v=""/>
    <s v=""/>
  </r>
  <r>
    <x v="89"/>
    <x v="26"/>
    <x v="4"/>
    <x v="48"/>
    <x v="1"/>
    <x v="1"/>
    <x v="4"/>
    <x v="4"/>
    <x v="3"/>
    <m/>
    <s v="BECAS NEAE"/>
    <s v="ROI"/>
    <s v=""/>
    <s v=""/>
    <s v=""/>
    <s v=""/>
    <s v=""/>
    <s v=""/>
  </r>
  <r>
    <x v="90"/>
    <x v="25"/>
    <x v="4"/>
    <x v="49"/>
    <x v="1"/>
    <x v="1"/>
    <x v="4"/>
    <x v="4"/>
    <x v="3"/>
    <m/>
    <s v="BECAS NEAE"/>
    <s v="ROI"/>
    <s v=""/>
    <s v=""/>
    <s v=""/>
    <s v=""/>
    <s v=""/>
    <s v=""/>
  </r>
  <r>
    <x v="91"/>
    <x v="26"/>
    <x v="4"/>
    <x v="50"/>
    <x v="1"/>
    <x v="1"/>
    <x v="4"/>
    <x v="4"/>
    <x v="3"/>
    <m/>
    <s v="BECAS NEAE"/>
    <s v="ANDREA"/>
    <s v=""/>
    <s v=""/>
    <s v=""/>
    <s v=""/>
    <s v=""/>
    <s v=""/>
  </r>
  <r>
    <x v="92"/>
    <x v="25"/>
    <x v="4"/>
    <x v="51"/>
    <x v="1"/>
    <x v="1"/>
    <x v="4"/>
    <x v="4"/>
    <x v="3"/>
    <m/>
    <s v="BECAS NEAE"/>
    <s v="ANDREA"/>
    <s v=""/>
    <s v=""/>
    <s v=""/>
    <s v=""/>
    <s v=""/>
    <s v=""/>
  </r>
  <r>
    <x v="93"/>
    <x v="25"/>
    <x v="60"/>
    <x v="52"/>
    <x v="1"/>
    <x v="1"/>
    <x v="4"/>
    <x v="4"/>
    <x v="3"/>
    <m/>
    <s v="BECAS NEAE"/>
    <s v="ANDREA"/>
    <s v=""/>
    <s v=""/>
    <s v=""/>
    <s v=""/>
    <s v=""/>
    <s v=""/>
  </r>
  <r>
    <x v="94"/>
    <x v="25"/>
    <x v="60"/>
    <x v="53"/>
    <x v="1"/>
    <x v="1"/>
    <x v="4"/>
    <x v="4"/>
    <x v="3"/>
    <m/>
    <s v="BECAS NEAE"/>
    <s v="CHRISTOPHER"/>
    <s v=""/>
    <s v=""/>
    <s v=""/>
    <s v=""/>
    <s v=""/>
    <s v=""/>
  </r>
  <r>
    <x v="95"/>
    <x v="25"/>
    <x v="61"/>
    <x v="54"/>
    <x v="1"/>
    <x v="1"/>
    <x v="4"/>
    <x v="4"/>
    <x v="3"/>
    <m/>
    <s v=""/>
    <s v=""/>
    <s v=""/>
    <s v=""/>
    <s v=""/>
    <s v=""/>
    <s v=""/>
    <s v=""/>
  </r>
  <r>
    <x v="96"/>
    <x v="27"/>
    <x v="24"/>
    <x v="0"/>
    <x v="11"/>
    <x v="0"/>
    <x v="10"/>
    <x v="10"/>
    <x v="3"/>
    <m/>
    <s v=""/>
    <s v=""/>
    <s v=""/>
    <s v=""/>
    <s v=""/>
    <s v=""/>
    <s v=""/>
    <s v=""/>
  </r>
  <r>
    <x v="97"/>
    <x v="28"/>
    <x v="62"/>
    <x v="55"/>
    <x v="1"/>
    <x v="1"/>
    <x v="4"/>
    <x v="4"/>
    <x v="3"/>
    <m/>
    <s v="CENTROS PIE 2024"/>
    <s v=""/>
    <s v=""/>
    <s v=""/>
    <s v=""/>
    <s v=""/>
    <s v=""/>
    <s v=""/>
  </r>
  <r>
    <x v="98"/>
    <x v="28"/>
    <x v="62"/>
    <x v="56"/>
    <x v="1"/>
    <x v="1"/>
    <x v="4"/>
    <x v="4"/>
    <x v="3"/>
    <m/>
    <s v="CENTROS PIE 2024"/>
    <s v=""/>
    <s v=""/>
    <s v=""/>
    <s v=""/>
    <s v=""/>
    <s v=""/>
    <s v=""/>
  </r>
  <r>
    <x v="99"/>
    <x v="28"/>
    <x v="63"/>
    <x v="57"/>
    <x v="1"/>
    <x v="1"/>
    <x v="4"/>
    <x v="4"/>
    <x v="3"/>
    <m/>
    <s v=""/>
    <s v="MATHÍAS"/>
    <s v=""/>
    <s v=""/>
    <s v=""/>
    <s v=""/>
    <s v=""/>
    <s v=""/>
  </r>
  <r>
    <x v="100"/>
    <x v="28"/>
    <x v="8"/>
    <x v="58"/>
    <x v="1"/>
    <x v="1"/>
    <x v="4"/>
    <x v="4"/>
    <x v="3"/>
    <m/>
    <s v=""/>
    <s v=""/>
    <s v=""/>
    <s v=""/>
    <s v=""/>
    <s v=""/>
    <s v=""/>
    <s v=""/>
  </r>
  <r>
    <x v="101"/>
    <x v="28"/>
    <x v="10"/>
    <x v="59"/>
    <x v="1"/>
    <x v="1"/>
    <x v="4"/>
    <x v="4"/>
    <x v="3"/>
    <m/>
    <s v="PLAMBE-FONDOS"/>
    <s v=""/>
    <s v=""/>
    <s v=""/>
    <s v=""/>
    <s v=""/>
    <s v=""/>
    <s v=""/>
  </r>
  <r>
    <x v="102"/>
    <x v="28"/>
    <x v="64"/>
    <x v="60"/>
    <x v="1"/>
    <x v="1"/>
    <x v="4"/>
    <x v="4"/>
    <x v="3"/>
    <m/>
    <s v="PLAMBE-FONDOS"/>
    <s v=""/>
    <s v=""/>
    <s v=""/>
    <s v=""/>
    <s v=""/>
    <s v=""/>
    <s v=""/>
  </r>
  <r>
    <x v="103"/>
    <x v="28"/>
    <x v="65"/>
    <x v="61"/>
    <x v="1"/>
    <x v="1"/>
    <x v="4"/>
    <x v="4"/>
    <x v="3"/>
    <m/>
    <s v=""/>
    <s v=""/>
    <s v=""/>
    <s v=""/>
    <s v=""/>
    <s v=""/>
    <s v=""/>
    <s v=""/>
  </r>
  <r>
    <x v="104"/>
    <x v="28"/>
    <x v="66"/>
    <x v="62"/>
    <x v="1"/>
    <x v="1"/>
    <x v="4"/>
    <x v="4"/>
    <x v="3"/>
    <m/>
    <s v=""/>
    <s v=""/>
    <s v=""/>
    <s v=""/>
    <s v=""/>
    <s v=""/>
    <s v=""/>
    <s v=""/>
  </r>
  <r>
    <x v="105"/>
    <x v="29"/>
    <x v="67"/>
    <x v="63"/>
    <x v="1"/>
    <x v="1"/>
    <x v="7"/>
    <x v="7"/>
    <x v="3"/>
    <m/>
    <s v=""/>
    <s v=""/>
    <s v=""/>
    <s v=""/>
    <s v=""/>
    <s v=""/>
    <s v=""/>
    <s v=""/>
  </r>
  <r>
    <x v="106"/>
    <x v="30"/>
    <x v="68"/>
    <x v="64"/>
    <x v="1"/>
    <x v="1"/>
    <x v="4"/>
    <x v="4"/>
    <x v="3"/>
    <m/>
    <s v=""/>
    <s v=""/>
    <s v=""/>
    <s v=""/>
    <s v=""/>
    <s v=""/>
    <s v=""/>
    <s v=""/>
  </r>
  <r>
    <x v="107"/>
    <x v="30"/>
    <x v="7"/>
    <x v="65"/>
    <x v="1"/>
    <x v="1"/>
    <x v="6"/>
    <x v="6"/>
    <x v="1"/>
    <m/>
    <s v=""/>
    <s v=""/>
    <s v=""/>
    <s v=""/>
    <s v=""/>
    <s v=""/>
    <s v=""/>
    <s v=""/>
  </r>
  <r>
    <x v="108"/>
    <x v="30"/>
    <x v="7"/>
    <x v="66"/>
    <x v="1"/>
    <x v="1"/>
    <x v="6"/>
    <x v="6"/>
    <x v="1"/>
    <m/>
    <s v=""/>
    <s v=""/>
    <s v=""/>
    <s v=""/>
    <s v=""/>
    <s v=""/>
    <s v=""/>
    <s v=""/>
  </r>
  <r>
    <x v="109"/>
    <x v="31"/>
    <x v="69"/>
    <x v="32"/>
    <x v="1"/>
    <x v="1"/>
    <x v="7"/>
    <x v="7"/>
    <x v="3"/>
    <m/>
    <s v=""/>
    <s v=""/>
    <s v=""/>
    <s v=""/>
    <s v=""/>
    <s v=""/>
    <s v=""/>
    <s v=""/>
  </r>
  <r>
    <x v="110"/>
    <x v="31"/>
    <x v="70"/>
    <x v="32"/>
    <x v="1"/>
    <x v="1"/>
    <x v="7"/>
    <x v="7"/>
    <x v="3"/>
    <m/>
    <s v=""/>
    <s v=""/>
    <s v=""/>
    <s v=""/>
    <s v=""/>
    <s v=""/>
    <s v=""/>
    <s v=""/>
  </r>
  <r>
    <x v="111"/>
    <x v="32"/>
    <x v="2"/>
    <x v="2"/>
    <x v="1"/>
    <x v="1"/>
    <x v="2"/>
    <x v="2"/>
    <x v="4"/>
    <m/>
    <m/>
    <m/>
    <m/>
    <m/>
    <m/>
    <m/>
    <m/>
    <m/>
  </r>
  <r>
    <x v="112"/>
    <x v="32"/>
    <x v="3"/>
    <x v="1"/>
    <x v="1"/>
    <x v="1"/>
    <x v="1"/>
    <x v="1"/>
    <x v="4"/>
    <m/>
    <m/>
    <m/>
    <m/>
    <m/>
    <m/>
    <m/>
    <m/>
    <m/>
  </r>
  <r>
    <x v="113"/>
    <x v="32"/>
    <x v="52"/>
    <x v="67"/>
    <x v="1"/>
    <x v="1"/>
    <x v="1"/>
    <x v="1"/>
    <x v="4"/>
    <m/>
    <m/>
    <m/>
    <m/>
    <m/>
    <m/>
    <m/>
    <m/>
    <m/>
  </r>
  <r>
    <x v="114"/>
    <x v="33"/>
    <x v="71"/>
    <x v="68"/>
    <x v="1"/>
    <x v="1"/>
    <x v="4"/>
    <x v="4"/>
    <x v="4"/>
    <m/>
    <s v="CENTROS PIE 2024"/>
    <s v=""/>
    <s v=""/>
    <s v=""/>
    <s v=""/>
    <s v=""/>
    <s v=""/>
    <s v=""/>
  </r>
  <r>
    <x v="115"/>
    <x v="34"/>
    <x v="9"/>
    <x v="69"/>
    <x v="1"/>
    <x v="1"/>
    <x v="5"/>
    <x v="5"/>
    <x v="4"/>
    <m/>
    <m/>
    <m/>
    <m/>
    <m/>
    <m/>
    <m/>
    <m/>
    <m/>
  </r>
  <r>
    <x v="116"/>
    <x v="34"/>
    <x v="72"/>
    <x v="70"/>
    <x v="1"/>
    <x v="1"/>
    <x v="4"/>
    <x v="4"/>
    <x v="4"/>
    <m/>
    <m/>
    <m/>
    <m/>
    <m/>
    <m/>
    <m/>
    <m/>
    <m/>
  </r>
  <r>
    <x v="117"/>
    <x v="35"/>
    <x v="2"/>
    <x v="2"/>
    <x v="1"/>
    <x v="1"/>
    <x v="2"/>
    <x v="2"/>
    <x v="4"/>
    <m/>
    <m/>
    <m/>
    <m/>
    <m/>
    <m/>
    <m/>
    <m/>
    <m/>
  </r>
  <r>
    <x v="118"/>
    <x v="35"/>
    <x v="57"/>
    <x v="71"/>
    <x v="1"/>
    <x v="1"/>
    <x v="4"/>
    <x v="4"/>
    <x v="4"/>
    <m/>
    <s v="FONDO LIBROS"/>
    <m/>
    <m/>
    <m/>
    <m/>
    <m/>
    <m/>
    <m/>
  </r>
  <r>
    <x v="119"/>
    <x v="36"/>
    <x v="2"/>
    <x v="2"/>
    <x v="1"/>
    <x v="1"/>
    <x v="2"/>
    <x v="2"/>
    <x v="4"/>
    <m/>
    <m/>
    <m/>
    <m/>
    <m/>
    <m/>
    <m/>
    <m/>
    <m/>
  </r>
  <r>
    <x v="120"/>
    <x v="37"/>
    <x v="52"/>
    <x v="72"/>
    <x v="1"/>
    <x v="1"/>
    <x v="1"/>
    <x v="1"/>
    <x v="4"/>
    <m/>
    <m/>
    <m/>
    <m/>
    <m/>
    <m/>
    <m/>
    <m/>
    <m/>
  </r>
  <r>
    <x v="121"/>
    <x v="38"/>
    <x v="3"/>
    <x v="0"/>
    <x v="12"/>
    <x v="0"/>
    <x v="12"/>
    <x v="12"/>
    <x v="4"/>
    <m/>
    <m/>
    <m/>
    <m/>
    <m/>
    <m/>
    <m/>
    <m/>
    <m/>
  </r>
  <r>
    <x v="122"/>
    <x v="39"/>
    <x v="5"/>
    <x v="73"/>
    <x v="1"/>
    <x v="1"/>
    <x v="5"/>
    <x v="5"/>
    <x v="4"/>
    <m/>
    <m/>
    <m/>
    <m/>
    <m/>
    <m/>
    <m/>
    <m/>
    <m/>
  </r>
  <r>
    <x v="123"/>
    <x v="39"/>
    <x v="5"/>
    <x v="74"/>
    <x v="1"/>
    <x v="1"/>
    <x v="5"/>
    <x v="5"/>
    <x v="4"/>
    <m/>
    <m/>
    <m/>
    <m/>
    <m/>
    <m/>
    <m/>
    <m/>
    <m/>
  </r>
  <r>
    <x v="124"/>
    <x v="39"/>
    <x v="73"/>
    <x v="75"/>
    <x v="1"/>
    <x v="1"/>
    <x v="4"/>
    <x v="4"/>
    <x v="4"/>
    <m/>
    <m/>
    <m/>
    <m/>
    <m/>
    <m/>
    <m/>
    <m/>
    <m/>
  </r>
  <r>
    <x v="125"/>
    <x v="39"/>
    <x v="57"/>
    <x v="76"/>
    <x v="1"/>
    <x v="1"/>
    <x v="6"/>
    <x v="6"/>
    <x v="4"/>
    <m/>
    <m/>
    <m/>
    <m/>
    <m/>
    <m/>
    <m/>
    <m/>
    <m/>
  </r>
  <r>
    <x v="126"/>
    <x v="40"/>
    <x v="10"/>
    <x v="77"/>
    <x v="1"/>
    <x v="1"/>
    <x v="4"/>
    <x v="4"/>
    <x v="4"/>
    <m/>
    <m/>
    <m/>
    <m/>
    <m/>
    <m/>
    <m/>
    <m/>
    <m/>
  </r>
  <r>
    <x v="127"/>
    <x v="40"/>
    <x v="5"/>
    <x v="78"/>
    <x v="1"/>
    <x v="1"/>
    <x v="5"/>
    <x v="5"/>
    <x v="4"/>
    <m/>
    <m/>
    <m/>
    <m/>
    <m/>
    <m/>
    <m/>
    <m/>
    <m/>
  </r>
  <r>
    <x v="128"/>
    <x v="41"/>
    <x v="21"/>
    <x v="79"/>
    <x v="1"/>
    <x v="1"/>
    <x v="9"/>
    <x v="9"/>
    <x v="4"/>
    <m/>
    <m/>
    <m/>
    <m/>
    <m/>
    <m/>
    <m/>
    <m/>
    <m/>
  </r>
  <r>
    <x v="129"/>
    <x v="41"/>
    <x v="5"/>
    <x v="80"/>
    <x v="1"/>
    <x v="1"/>
    <x v="5"/>
    <x v="5"/>
    <x v="5"/>
    <m/>
    <m/>
    <m/>
    <m/>
    <m/>
    <m/>
    <m/>
    <m/>
    <m/>
  </r>
  <r>
    <x v="130"/>
    <x v="41"/>
    <x v="2"/>
    <x v="81"/>
    <x v="1"/>
    <x v="1"/>
    <x v="2"/>
    <x v="2"/>
    <x v="5"/>
    <m/>
    <m/>
    <m/>
    <m/>
    <m/>
    <m/>
    <m/>
    <m/>
    <m/>
  </r>
  <r>
    <x v="131"/>
    <x v="41"/>
    <x v="2"/>
    <x v="2"/>
    <x v="1"/>
    <x v="1"/>
    <x v="2"/>
    <x v="2"/>
    <x v="5"/>
    <m/>
    <m/>
    <m/>
    <m/>
    <m/>
    <m/>
    <m/>
    <m/>
    <m/>
  </r>
  <r>
    <x v="132"/>
    <x v="41"/>
    <x v="74"/>
    <x v="82"/>
    <x v="1"/>
    <x v="1"/>
    <x v="7"/>
    <x v="7"/>
    <x v="5"/>
    <m/>
    <m/>
    <m/>
    <m/>
    <m/>
    <m/>
    <m/>
    <m/>
    <m/>
  </r>
  <r>
    <x v="133"/>
    <x v="42"/>
    <x v="52"/>
    <x v="83"/>
    <x v="1"/>
    <x v="1"/>
    <x v="1"/>
    <x v="1"/>
    <x v="5"/>
    <m/>
    <m/>
    <m/>
    <m/>
    <m/>
    <m/>
    <m/>
    <m/>
    <m/>
  </r>
  <r>
    <x v="134"/>
    <x v="42"/>
    <x v="75"/>
    <x v="84"/>
    <x v="1"/>
    <x v="1"/>
    <x v="13"/>
    <x v="13"/>
    <x v="5"/>
    <m/>
    <s v="ANDAINA MONFORTE"/>
    <m/>
    <m/>
    <m/>
    <m/>
    <m/>
    <m/>
    <m/>
  </r>
  <r>
    <x v="135"/>
    <x v="42"/>
    <x v="57"/>
    <x v="85"/>
    <x v="1"/>
    <x v="1"/>
    <x v="6"/>
    <x v="6"/>
    <x v="5"/>
    <m/>
    <m/>
    <m/>
    <m/>
    <m/>
    <m/>
    <m/>
    <m/>
    <m/>
  </r>
  <r>
    <x v="136"/>
    <x v="43"/>
    <x v="76"/>
    <x v="86"/>
    <x v="1"/>
    <x v="1"/>
    <x v="5"/>
    <x v="5"/>
    <x v="5"/>
    <m/>
    <m/>
    <m/>
    <m/>
    <m/>
    <m/>
    <m/>
    <m/>
    <m/>
  </r>
  <r>
    <x v="137"/>
    <x v="43"/>
    <x v="77"/>
    <x v="87"/>
    <x v="1"/>
    <x v="1"/>
    <x v="5"/>
    <x v="5"/>
    <x v="5"/>
    <m/>
    <m/>
    <m/>
    <m/>
    <m/>
    <m/>
    <m/>
    <m/>
    <m/>
  </r>
  <r>
    <x v="138"/>
    <x v="43"/>
    <x v="78"/>
    <x v="88"/>
    <x v="1"/>
    <x v="1"/>
    <x v="5"/>
    <x v="5"/>
    <x v="5"/>
    <m/>
    <m/>
    <m/>
    <m/>
    <m/>
    <m/>
    <m/>
    <m/>
    <m/>
  </r>
  <r>
    <x v="139"/>
    <x v="43"/>
    <x v="79"/>
    <x v="89"/>
    <x v="1"/>
    <x v="1"/>
    <x v="14"/>
    <x v="14"/>
    <x v="5"/>
    <m/>
    <m/>
    <m/>
    <m/>
    <m/>
    <m/>
    <m/>
    <m/>
    <m/>
  </r>
  <r>
    <x v="140"/>
    <x v="43"/>
    <x v="80"/>
    <x v="90"/>
    <x v="1"/>
    <x v="1"/>
    <x v="4"/>
    <x v="4"/>
    <x v="5"/>
    <m/>
    <m/>
    <m/>
    <m/>
    <m/>
    <m/>
    <m/>
    <m/>
    <m/>
  </r>
  <r>
    <x v="141"/>
    <x v="44"/>
    <x v="81"/>
    <x v="91"/>
    <x v="1"/>
    <x v="1"/>
    <x v="6"/>
    <x v="6"/>
    <x v="5"/>
    <m/>
    <m/>
    <m/>
    <m/>
    <m/>
    <m/>
    <m/>
    <m/>
    <m/>
  </r>
  <r>
    <x v="142"/>
    <x v="44"/>
    <x v="8"/>
    <x v="92"/>
    <x v="1"/>
    <x v="1"/>
    <x v="4"/>
    <x v="4"/>
    <x v="5"/>
    <m/>
    <m/>
    <m/>
    <m/>
    <m/>
    <m/>
    <m/>
    <m/>
    <m/>
  </r>
  <r>
    <x v="143"/>
    <x v="45"/>
    <x v="82"/>
    <x v="93"/>
    <x v="1"/>
    <x v="1"/>
    <x v="5"/>
    <x v="5"/>
    <x v="5"/>
    <m/>
    <m/>
    <m/>
    <m/>
    <m/>
    <m/>
    <m/>
    <m/>
    <m/>
  </r>
  <r>
    <x v="144"/>
    <x v="45"/>
    <x v="5"/>
    <x v="94"/>
    <x v="1"/>
    <x v="1"/>
    <x v="5"/>
    <x v="5"/>
    <x v="5"/>
    <m/>
    <m/>
    <m/>
    <m/>
    <m/>
    <m/>
    <m/>
    <m/>
    <m/>
  </r>
  <r>
    <x v="145"/>
    <x v="45"/>
    <x v="83"/>
    <x v="95"/>
    <x v="1"/>
    <x v="1"/>
    <x v="4"/>
    <x v="4"/>
    <x v="5"/>
    <m/>
    <s v="DESENVOLVEMENTO PROGRAMA EDUCACIÓN DIXITAL 2024"/>
    <m/>
    <m/>
    <m/>
    <m/>
    <m/>
    <m/>
    <m/>
  </r>
  <r>
    <x v="146"/>
    <x v="45"/>
    <x v="7"/>
    <x v="96"/>
    <x v="1"/>
    <x v="1"/>
    <x v="4"/>
    <x v="4"/>
    <x v="5"/>
    <m/>
    <s v="DESENVOLVEMENTO PROGRAMA EDUCACIÓN DIXITAL 2024"/>
    <m/>
    <m/>
    <m/>
    <m/>
    <m/>
    <m/>
    <m/>
  </r>
  <r>
    <x v="147"/>
    <x v="45"/>
    <x v="60"/>
    <x v="97"/>
    <x v="1"/>
    <x v="1"/>
    <x v="4"/>
    <x v="4"/>
    <x v="5"/>
    <m/>
    <s v="BECAS NEAE"/>
    <s v="ANDREA"/>
    <m/>
    <m/>
    <m/>
    <m/>
    <m/>
    <m/>
  </r>
  <r>
    <x v="148"/>
    <x v="45"/>
    <x v="60"/>
    <x v="98"/>
    <x v="1"/>
    <x v="1"/>
    <x v="4"/>
    <x v="4"/>
    <x v="5"/>
    <m/>
    <s v="BECAS NEAE"/>
    <s v="CHRISTOPHER"/>
    <m/>
    <m/>
    <m/>
    <m/>
    <m/>
    <m/>
  </r>
  <r>
    <x v="149"/>
    <x v="46"/>
    <x v="84"/>
    <x v="0"/>
    <x v="13"/>
    <x v="0"/>
    <x v="8"/>
    <x v="8"/>
    <x v="5"/>
    <m/>
    <m/>
    <m/>
    <m/>
    <m/>
    <m/>
    <m/>
    <m/>
    <m/>
  </r>
  <r>
    <x v="150"/>
    <x v="46"/>
    <x v="84"/>
    <x v="99"/>
    <x v="1"/>
    <x v="1"/>
    <x v="4"/>
    <x v="4"/>
    <x v="5"/>
    <m/>
    <m/>
    <m/>
    <m/>
    <m/>
    <m/>
    <m/>
    <m/>
    <m/>
  </r>
  <r>
    <x v="151"/>
    <x v="47"/>
    <x v="84"/>
    <x v="0"/>
    <x v="14"/>
    <x v="0"/>
    <x v="8"/>
    <x v="8"/>
    <x v="5"/>
    <m/>
    <m/>
    <m/>
    <m/>
    <m/>
    <m/>
    <m/>
    <m/>
    <m/>
  </r>
  <r>
    <x v="152"/>
    <x v="47"/>
    <x v="24"/>
    <x v="0"/>
    <x v="11"/>
    <x v="0"/>
    <x v="10"/>
    <x v="10"/>
    <x v="5"/>
    <m/>
    <m/>
    <m/>
    <m/>
    <m/>
    <m/>
    <m/>
    <m/>
    <m/>
  </r>
  <r>
    <x v="153"/>
    <x v="47"/>
    <x v="85"/>
    <x v="0"/>
    <x v="15"/>
    <x v="0"/>
    <x v="11"/>
    <x v="11"/>
    <x v="5"/>
    <m/>
    <s v="BECAS NEAE  ROI"/>
    <s v="ROI"/>
    <m/>
    <m/>
    <m/>
    <m/>
    <m/>
    <m/>
  </r>
  <r>
    <x v="154"/>
    <x v="47"/>
    <x v="85"/>
    <x v="0"/>
    <x v="16"/>
    <x v="0"/>
    <x v="11"/>
    <x v="11"/>
    <x v="5"/>
    <m/>
    <s v="BECAS NEAE CANDELA"/>
    <s v="CANDELA"/>
    <m/>
    <m/>
    <m/>
    <m/>
    <m/>
    <m/>
  </r>
  <r>
    <x v="155"/>
    <x v="47"/>
    <x v="85"/>
    <x v="0"/>
    <x v="4"/>
    <x v="0"/>
    <x v="11"/>
    <x v="11"/>
    <x v="5"/>
    <m/>
    <s v="BECAS NEAE SAMARA"/>
    <s v="SAMARA"/>
    <m/>
    <m/>
    <m/>
    <m/>
    <m/>
    <m/>
  </r>
  <r>
    <x v="156"/>
    <x v="47"/>
    <x v="85"/>
    <x v="0"/>
    <x v="16"/>
    <x v="0"/>
    <x v="11"/>
    <x v="11"/>
    <x v="5"/>
    <m/>
    <s v="BECAS NEAE MATHIAS ALBERTO"/>
    <s v="MATHIAS"/>
    <m/>
    <m/>
    <m/>
    <m/>
    <m/>
    <m/>
  </r>
  <r>
    <x v="157"/>
    <x v="47"/>
    <x v="85"/>
    <x v="0"/>
    <x v="16"/>
    <x v="0"/>
    <x v="11"/>
    <x v="11"/>
    <x v="5"/>
    <m/>
    <s v="BECAS NEAE CRISTOPHER"/>
    <s v="CHRISTOPHER"/>
    <m/>
    <m/>
    <m/>
    <m/>
    <m/>
    <m/>
  </r>
  <r>
    <x v="158"/>
    <x v="47"/>
    <x v="24"/>
    <x v="0"/>
    <x v="17"/>
    <x v="0"/>
    <x v="15"/>
    <x v="15"/>
    <x v="5"/>
    <m/>
    <s v="PLAMBE-FONDOS"/>
    <m/>
    <m/>
    <m/>
    <m/>
    <m/>
    <m/>
    <m/>
  </r>
  <r>
    <x v="159"/>
    <x v="47"/>
    <x v="86"/>
    <x v="100"/>
    <x v="1"/>
    <x v="1"/>
    <x v="7"/>
    <x v="7"/>
    <x v="5"/>
    <m/>
    <m/>
    <m/>
    <m/>
    <m/>
    <m/>
    <m/>
    <m/>
    <m/>
  </r>
  <r>
    <x v="160"/>
    <x v="48"/>
    <x v="52"/>
    <x v="83"/>
    <x v="1"/>
    <x v="1"/>
    <x v="1"/>
    <x v="1"/>
    <x v="5"/>
    <m/>
    <m/>
    <m/>
    <m/>
    <m/>
    <m/>
    <m/>
    <m/>
    <m/>
  </r>
  <r>
    <x v="161"/>
    <x v="48"/>
    <x v="2"/>
    <x v="2"/>
    <x v="1"/>
    <x v="1"/>
    <x v="2"/>
    <x v="2"/>
    <x v="5"/>
    <m/>
    <m/>
    <m/>
    <m/>
    <m/>
    <m/>
    <m/>
    <m/>
    <m/>
  </r>
  <r>
    <x v="162"/>
    <x v="48"/>
    <x v="87"/>
    <x v="101"/>
    <x v="1"/>
    <x v="1"/>
    <x v="4"/>
    <x v="4"/>
    <x v="5"/>
    <m/>
    <s v="PLAMBE - FONDOS"/>
    <m/>
    <m/>
    <m/>
    <m/>
    <m/>
    <m/>
    <m/>
  </r>
  <r>
    <x v="163"/>
    <x v="48"/>
    <x v="11"/>
    <x v="102"/>
    <x v="1"/>
    <x v="1"/>
    <x v="4"/>
    <x v="4"/>
    <x v="5"/>
    <m/>
    <s v="X.T PROGRAMA CERTIFICACIÓN COMPETENCIA LINGUÍSTICA"/>
    <m/>
    <m/>
    <m/>
    <m/>
    <m/>
    <m/>
    <m/>
  </r>
  <r>
    <x v="164"/>
    <x v="48"/>
    <x v="4"/>
    <x v="103"/>
    <x v="1"/>
    <x v="1"/>
    <x v="4"/>
    <x v="4"/>
    <x v="5"/>
    <m/>
    <s v="BECA NEAE ROI"/>
    <s v="ROI"/>
    <m/>
    <m/>
    <m/>
    <m/>
    <m/>
    <m/>
  </r>
  <r>
    <x v="165"/>
    <x v="48"/>
    <x v="4"/>
    <x v="104"/>
    <x v="1"/>
    <x v="1"/>
    <x v="4"/>
    <x v="4"/>
    <x v="5"/>
    <m/>
    <s v="BECA NEAE SAMARA"/>
    <s v="SAMARA"/>
    <m/>
    <m/>
    <m/>
    <m/>
    <m/>
    <m/>
  </r>
  <r>
    <x v="166"/>
    <x v="48"/>
    <x v="88"/>
    <x v="105"/>
    <x v="1"/>
    <x v="1"/>
    <x v="7"/>
    <x v="7"/>
    <x v="5"/>
    <m/>
    <m/>
    <m/>
    <m/>
    <m/>
    <m/>
    <m/>
    <m/>
    <m/>
  </r>
  <r>
    <x v="167"/>
    <x v="48"/>
    <x v="89"/>
    <x v="106"/>
    <x v="1"/>
    <x v="1"/>
    <x v="7"/>
    <x v="7"/>
    <x v="5"/>
    <m/>
    <m/>
    <m/>
    <m/>
    <m/>
    <m/>
    <m/>
    <m/>
    <m/>
  </r>
  <r>
    <x v="168"/>
    <x v="49"/>
    <x v="90"/>
    <x v="107"/>
    <x v="1"/>
    <x v="1"/>
    <x v="4"/>
    <x v="4"/>
    <x v="5"/>
    <m/>
    <s v="PLAMBE-FONDOS"/>
    <m/>
    <m/>
    <m/>
    <m/>
    <m/>
    <m/>
    <m/>
  </r>
  <r>
    <x v="169"/>
    <x v="49"/>
    <x v="91"/>
    <x v="108"/>
    <x v="1"/>
    <x v="1"/>
    <x v="5"/>
    <x v="5"/>
    <x v="5"/>
    <m/>
    <m/>
    <m/>
    <m/>
    <m/>
    <m/>
    <m/>
    <m/>
    <m/>
  </r>
  <r>
    <x v="170"/>
    <x v="49"/>
    <x v="92"/>
    <x v="109"/>
    <x v="1"/>
    <x v="1"/>
    <x v="5"/>
    <x v="5"/>
    <x v="5"/>
    <m/>
    <m/>
    <m/>
    <m/>
    <m/>
    <m/>
    <m/>
    <m/>
    <m/>
  </r>
  <r>
    <x v="171"/>
    <x v="50"/>
    <x v="93"/>
    <x v="110"/>
    <x v="1"/>
    <x v="1"/>
    <x v="2"/>
    <x v="2"/>
    <x v="5"/>
    <m/>
    <s v="OBRA COCIÑA"/>
    <m/>
    <m/>
    <m/>
    <m/>
    <m/>
    <m/>
    <m/>
  </r>
  <r>
    <x v="172"/>
    <x v="50"/>
    <x v="8"/>
    <x v="111"/>
    <x v="1"/>
    <x v="1"/>
    <x v="4"/>
    <x v="4"/>
    <x v="5"/>
    <m/>
    <m/>
    <m/>
    <m/>
    <m/>
    <m/>
    <m/>
    <m/>
    <m/>
  </r>
  <r>
    <x v="173"/>
    <x v="50"/>
    <x v="5"/>
    <x v="112"/>
    <x v="1"/>
    <x v="1"/>
    <x v="5"/>
    <x v="5"/>
    <x v="5"/>
    <m/>
    <m/>
    <m/>
    <m/>
    <m/>
    <m/>
    <m/>
    <m/>
    <m/>
  </r>
  <r>
    <x v="174"/>
    <x v="50"/>
    <x v="94"/>
    <x v="113"/>
    <x v="1"/>
    <x v="1"/>
    <x v="16"/>
    <x v="16"/>
    <x v="5"/>
    <m/>
    <s v="OBRA COCIÑA"/>
    <m/>
    <m/>
    <m/>
    <m/>
    <m/>
    <m/>
    <m/>
  </r>
  <r>
    <x v="175"/>
    <x v="51"/>
    <x v="95"/>
    <x v="0"/>
    <x v="18"/>
    <x v="0"/>
    <x v="17"/>
    <x v="17"/>
    <x v="5"/>
    <m/>
    <s v="FONDO LIBROS "/>
    <m/>
    <m/>
    <m/>
    <m/>
    <m/>
    <m/>
    <m/>
  </r>
  <r>
    <x v="176"/>
    <x v="52"/>
    <x v="96"/>
    <x v="98"/>
    <x v="1"/>
    <x v="1"/>
    <x v="4"/>
    <x v="4"/>
    <x v="5"/>
    <m/>
    <s v="BECAS NEAE MATHIAS (CURSO 24/25)"/>
    <m/>
    <m/>
    <m/>
    <m/>
    <m/>
    <m/>
    <m/>
  </r>
  <r>
    <x v="177"/>
    <x v="53"/>
    <x v="57"/>
    <x v="114"/>
    <x v="1"/>
    <x v="1"/>
    <x v="4"/>
    <x v="4"/>
    <x v="5"/>
    <m/>
    <m/>
    <m/>
    <m/>
    <m/>
    <m/>
    <m/>
    <m/>
    <m/>
  </r>
  <r>
    <x v="178"/>
    <x v="53"/>
    <x v="10"/>
    <x v="115"/>
    <x v="1"/>
    <x v="1"/>
    <x v="4"/>
    <x v="4"/>
    <x v="5"/>
    <m/>
    <s v="PLAMBE-FONDOS"/>
    <m/>
    <m/>
    <m/>
    <m/>
    <m/>
    <m/>
    <m/>
  </r>
  <r>
    <x v="179"/>
    <x v="53"/>
    <x v="97"/>
    <x v="116"/>
    <x v="1"/>
    <x v="1"/>
    <x v="7"/>
    <x v="7"/>
    <x v="5"/>
    <m/>
    <m/>
    <m/>
    <m/>
    <m/>
    <m/>
    <m/>
    <m/>
    <m/>
  </r>
  <r>
    <x v="180"/>
    <x v="53"/>
    <x v="97"/>
    <x v="116"/>
    <x v="1"/>
    <x v="1"/>
    <x v="7"/>
    <x v="7"/>
    <x v="5"/>
    <m/>
    <m/>
    <m/>
    <m/>
    <m/>
    <m/>
    <m/>
    <m/>
    <m/>
  </r>
  <r>
    <x v="181"/>
    <x v="53"/>
    <x v="97"/>
    <x v="117"/>
    <x v="1"/>
    <x v="1"/>
    <x v="7"/>
    <x v="7"/>
    <x v="5"/>
    <m/>
    <m/>
    <m/>
    <m/>
    <m/>
    <m/>
    <m/>
    <m/>
    <m/>
  </r>
  <r>
    <x v="182"/>
    <x v="54"/>
    <x v="75"/>
    <x v="118"/>
    <x v="1"/>
    <x v="1"/>
    <x v="13"/>
    <x v="13"/>
    <x v="5"/>
    <m/>
    <s v="SAÍDA AUDITORIO 6ºEI"/>
    <m/>
    <m/>
    <m/>
    <m/>
    <m/>
    <m/>
    <m/>
  </r>
  <r>
    <x v="183"/>
    <x v="54"/>
    <x v="5"/>
    <x v="119"/>
    <x v="1"/>
    <x v="1"/>
    <x v="5"/>
    <x v="5"/>
    <x v="5"/>
    <m/>
    <m/>
    <m/>
    <m/>
    <m/>
    <m/>
    <m/>
    <m/>
    <m/>
  </r>
  <r>
    <x v="184"/>
    <x v="54"/>
    <x v="5"/>
    <x v="120"/>
    <x v="1"/>
    <x v="1"/>
    <x v="5"/>
    <x v="5"/>
    <x v="5"/>
    <m/>
    <m/>
    <m/>
    <m/>
    <m/>
    <m/>
    <m/>
    <m/>
    <m/>
  </r>
  <r>
    <x v="185"/>
    <x v="55"/>
    <x v="5"/>
    <x v="121"/>
    <x v="1"/>
    <x v="1"/>
    <x v="5"/>
    <x v="5"/>
    <x v="5"/>
    <m/>
    <m/>
    <m/>
    <m/>
    <m/>
    <m/>
    <m/>
    <m/>
    <m/>
  </r>
  <r>
    <x v="186"/>
    <x v="55"/>
    <x v="92"/>
    <x v="122"/>
    <x v="1"/>
    <x v="1"/>
    <x v="5"/>
    <x v="5"/>
    <x v="5"/>
    <m/>
    <m/>
    <m/>
    <m/>
    <m/>
    <m/>
    <m/>
    <m/>
    <m/>
  </r>
  <r>
    <x v="187"/>
    <x v="55"/>
    <x v="10"/>
    <x v="123"/>
    <x v="1"/>
    <x v="1"/>
    <x v="4"/>
    <x v="4"/>
    <x v="5"/>
    <m/>
    <s v="PLAMBE-FONDOS"/>
    <m/>
    <m/>
    <m/>
    <m/>
    <m/>
    <m/>
    <m/>
  </r>
  <r>
    <x v="188"/>
    <x v="55"/>
    <x v="57"/>
    <x v="124"/>
    <x v="1"/>
    <x v="1"/>
    <x v="4"/>
    <x v="4"/>
    <x v="5"/>
    <m/>
    <s v="LINGUAS EXTRANXEIRAS"/>
    <m/>
    <m/>
    <m/>
    <m/>
    <m/>
    <m/>
    <m/>
  </r>
  <r>
    <x v="189"/>
    <x v="55"/>
    <x v="98"/>
    <x v="125"/>
    <x v="1"/>
    <x v="1"/>
    <x v="4"/>
    <x v="4"/>
    <x v="5"/>
    <m/>
    <s v="FOMENTO DO USO DO GALEGO"/>
    <m/>
    <m/>
    <m/>
    <m/>
    <m/>
    <m/>
    <m/>
  </r>
  <r>
    <x v="190"/>
    <x v="56"/>
    <x v="76"/>
    <x v="126"/>
    <x v="1"/>
    <x v="1"/>
    <x v="5"/>
    <x v="5"/>
    <x v="5"/>
    <m/>
    <m/>
    <m/>
    <m/>
    <m/>
    <m/>
    <m/>
    <m/>
    <m/>
  </r>
  <r>
    <x v="191"/>
    <x v="56"/>
    <x v="76"/>
    <x v="127"/>
    <x v="1"/>
    <x v="1"/>
    <x v="5"/>
    <x v="5"/>
    <x v="5"/>
    <m/>
    <m/>
    <m/>
    <m/>
    <m/>
    <m/>
    <m/>
    <m/>
    <m/>
  </r>
  <r>
    <x v="192"/>
    <x v="57"/>
    <x v="2"/>
    <x v="2"/>
    <x v="1"/>
    <x v="1"/>
    <x v="2"/>
    <x v="2"/>
    <x v="5"/>
    <m/>
    <m/>
    <m/>
    <m/>
    <m/>
    <m/>
    <m/>
    <m/>
    <m/>
  </r>
  <r>
    <x v="193"/>
    <x v="57"/>
    <x v="47"/>
    <x v="128"/>
    <x v="1"/>
    <x v="1"/>
    <x v="4"/>
    <x v="4"/>
    <x v="5"/>
    <m/>
    <s v="PLAMBE-FONDOS"/>
    <m/>
    <m/>
    <m/>
    <m/>
    <m/>
    <m/>
    <m/>
  </r>
  <r>
    <x v="194"/>
    <x v="58"/>
    <x v="52"/>
    <x v="129"/>
    <x v="1"/>
    <x v="1"/>
    <x v="1"/>
    <x v="1"/>
    <x v="5"/>
    <m/>
    <m/>
    <m/>
    <m/>
    <m/>
    <m/>
    <m/>
    <m/>
    <m/>
  </r>
  <r>
    <x v="195"/>
    <x v="59"/>
    <x v="8"/>
    <x v="111"/>
    <x v="1"/>
    <x v="1"/>
    <x v="4"/>
    <x v="4"/>
    <x v="5"/>
    <m/>
    <m/>
    <m/>
    <m/>
    <m/>
    <m/>
    <m/>
    <m/>
    <m/>
  </r>
  <r>
    <x v="196"/>
    <x v="59"/>
    <x v="87"/>
    <x v="130"/>
    <x v="1"/>
    <x v="1"/>
    <x v="4"/>
    <x v="4"/>
    <x v="5"/>
    <m/>
    <s v="PLAMBE-FONDOS"/>
    <m/>
    <m/>
    <m/>
    <m/>
    <m/>
    <m/>
    <m/>
  </r>
  <r>
    <x v="197"/>
    <x v="59"/>
    <x v="4"/>
    <x v="131"/>
    <x v="1"/>
    <x v="1"/>
    <x v="4"/>
    <x v="4"/>
    <x v="5"/>
    <m/>
    <s v="BECAS NEAE SAMARA"/>
    <s v="SAMARA"/>
    <m/>
    <m/>
    <m/>
    <m/>
    <m/>
    <m/>
  </r>
  <r>
    <x v="198"/>
    <x v="59"/>
    <x v="4"/>
    <x v="131"/>
    <x v="1"/>
    <x v="1"/>
    <x v="4"/>
    <x v="4"/>
    <x v="5"/>
    <m/>
    <s v="BECAS NEAE ROI"/>
    <s v="ROI"/>
    <m/>
    <m/>
    <m/>
    <m/>
    <m/>
    <m/>
  </r>
  <r>
    <x v="199"/>
    <x v="59"/>
    <x v="4"/>
    <x v="132"/>
    <x v="1"/>
    <x v="1"/>
    <x v="4"/>
    <x v="4"/>
    <x v="5"/>
    <m/>
    <s v="BECAS NEAE SAMARA"/>
    <s v="SAMARA"/>
    <m/>
    <m/>
    <m/>
    <m/>
    <m/>
    <m/>
  </r>
  <r>
    <x v="200"/>
    <x v="59"/>
    <x v="4"/>
    <x v="98"/>
    <x v="1"/>
    <x v="1"/>
    <x v="4"/>
    <x v="4"/>
    <x v="5"/>
    <m/>
    <s v="BECAS NEAE CANDELA"/>
    <s v="CANDELA"/>
    <m/>
    <m/>
    <m/>
    <m/>
    <m/>
    <m/>
  </r>
  <r>
    <x v="201"/>
    <x v="59"/>
    <x v="4"/>
    <x v="132"/>
    <x v="1"/>
    <x v="1"/>
    <x v="4"/>
    <x v="4"/>
    <x v="5"/>
    <m/>
    <s v="BECAS NEAE ROI"/>
    <s v="ROI"/>
    <m/>
    <m/>
    <m/>
    <m/>
    <m/>
    <m/>
  </r>
  <r>
    <x v="202"/>
    <x v="59"/>
    <x v="48"/>
    <x v="133"/>
    <x v="1"/>
    <x v="1"/>
    <x v="5"/>
    <x v="5"/>
    <x v="5"/>
    <m/>
    <m/>
    <m/>
    <m/>
    <m/>
    <m/>
    <m/>
    <m/>
    <m/>
  </r>
  <r>
    <x v="203"/>
    <x v="59"/>
    <x v="99"/>
    <x v="134"/>
    <x v="1"/>
    <x v="1"/>
    <x v="5"/>
    <x v="5"/>
    <x v="5"/>
    <m/>
    <m/>
    <m/>
    <m/>
    <m/>
    <m/>
    <m/>
    <m/>
    <m/>
  </r>
  <r>
    <x v="204"/>
    <x v="60"/>
    <x v="100"/>
    <x v="0"/>
    <x v="19"/>
    <x v="0"/>
    <x v="18"/>
    <x v="18"/>
    <x v="5"/>
    <m/>
    <s v="CENTROS PIE 2025"/>
    <m/>
    <m/>
    <m/>
    <m/>
    <m/>
    <m/>
    <m/>
  </r>
  <r>
    <x v="205"/>
    <x v="60"/>
    <x v="5"/>
    <x v="133"/>
    <x v="1"/>
    <x v="1"/>
    <x v="5"/>
    <x v="5"/>
    <x v="5"/>
    <m/>
    <m/>
    <m/>
    <m/>
    <m/>
    <m/>
    <m/>
    <m/>
    <m/>
  </r>
  <r>
    <x v="206"/>
    <x v="60"/>
    <x v="5"/>
    <x v="135"/>
    <x v="1"/>
    <x v="1"/>
    <x v="5"/>
    <x v="5"/>
    <x v="5"/>
    <m/>
    <m/>
    <m/>
    <m/>
    <m/>
    <m/>
    <m/>
    <m/>
    <m/>
  </r>
  <r>
    <x v="207"/>
    <x v="61"/>
    <x v="101"/>
    <x v="136"/>
    <x v="1"/>
    <x v="1"/>
    <x v="5"/>
    <x v="5"/>
    <x v="5"/>
    <m/>
    <m/>
    <m/>
    <m/>
    <m/>
    <m/>
    <m/>
    <m/>
    <m/>
  </r>
  <r>
    <x v="208"/>
    <x v="62"/>
    <x v="72"/>
    <x v="137"/>
    <x v="1"/>
    <x v="1"/>
    <x v="4"/>
    <x v="4"/>
    <x v="5"/>
    <m/>
    <m/>
    <m/>
    <m/>
    <m/>
    <m/>
    <m/>
    <m/>
    <m/>
  </r>
  <r>
    <x v="209"/>
    <x v="62"/>
    <x v="102"/>
    <x v="138"/>
    <x v="1"/>
    <x v="1"/>
    <x v="5"/>
    <x v="5"/>
    <x v="5"/>
    <m/>
    <m/>
    <m/>
    <m/>
    <m/>
    <m/>
    <m/>
    <m/>
    <m/>
  </r>
  <r>
    <x v="210"/>
    <x v="63"/>
    <x v="24"/>
    <x v="0"/>
    <x v="20"/>
    <x v="0"/>
    <x v="10"/>
    <x v="10"/>
    <x v="5"/>
    <m/>
    <m/>
    <m/>
    <m/>
    <m/>
    <m/>
    <m/>
    <m/>
    <m/>
  </r>
  <r>
    <x v="211"/>
    <x v="63"/>
    <x v="57"/>
    <x v="139"/>
    <x v="1"/>
    <x v="1"/>
    <x v="4"/>
    <x v="4"/>
    <x v="5"/>
    <m/>
    <m/>
    <m/>
    <m/>
    <m/>
    <m/>
    <m/>
    <m/>
    <m/>
  </r>
  <r>
    <x v="212"/>
    <x v="63"/>
    <x v="57"/>
    <x v="140"/>
    <x v="1"/>
    <x v="1"/>
    <x v="4"/>
    <x v="4"/>
    <x v="5"/>
    <m/>
    <s v="FONDO LIBROS"/>
    <m/>
    <m/>
    <m/>
    <m/>
    <m/>
    <m/>
    <m/>
  </r>
  <r>
    <x v="213"/>
    <x v="63"/>
    <x v="57"/>
    <x v="141"/>
    <x v="1"/>
    <x v="1"/>
    <x v="4"/>
    <x v="4"/>
    <x v="5"/>
    <m/>
    <s v="FOMENTO DO USO DO GALEGO"/>
    <m/>
    <m/>
    <m/>
    <m/>
    <m/>
    <m/>
    <m/>
  </r>
  <r>
    <x v="214"/>
    <x v="63"/>
    <x v="93"/>
    <x v="142"/>
    <x v="1"/>
    <x v="1"/>
    <x v="2"/>
    <x v="2"/>
    <x v="5"/>
    <m/>
    <m/>
    <m/>
    <m/>
    <m/>
    <m/>
    <m/>
    <m/>
    <m/>
  </r>
  <r>
    <x v="215"/>
    <x v="63"/>
    <x v="93"/>
    <x v="143"/>
    <x v="1"/>
    <x v="1"/>
    <x v="2"/>
    <x v="2"/>
    <x v="5"/>
    <m/>
    <m/>
    <m/>
    <m/>
    <m/>
    <m/>
    <m/>
    <m/>
    <m/>
  </r>
  <r>
    <x v="216"/>
    <x v="63"/>
    <x v="103"/>
    <x v="144"/>
    <x v="1"/>
    <x v="1"/>
    <x v="14"/>
    <x v="14"/>
    <x v="5"/>
    <m/>
    <s v="PLAMBE MOBILIARIO"/>
    <m/>
    <m/>
    <m/>
    <m/>
    <m/>
    <m/>
    <m/>
  </r>
  <r>
    <x v="217"/>
    <x v="63"/>
    <x v="104"/>
    <x v="145"/>
    <x v="1"/>
    <x v="1"/>
    <x v="4"/>
    <x v="4"/>
    <x v="5"/>
    <m/>
    <s v="EDIXGAL"/>
    <m/>
    <m/>
    <m/>
    <m/>
    <m/>
    <m/>
    <m/>
  </r>
  <r>
    <x v="218"/>
    <x v="63"/>
    <x v="105"/>
    <x v="146"/>
    <x v="1"/>
    <x v="1"/>
    <x v="4"/>
    <x v="4"/>
    <x v="5"/>
    <m/>
    <s v="LINGUAS EXTRANXEIRAS"/>
    <m/>
    <m/>
    <m/>
    <m/>
    <m/>
    <m/>
    <m/>
  </r>
  <r>
    <x v="219"/>
    <x v="63"/>
    <x v="57"/>
    <x v="147"/>
    <x v="1"/>
    <x v="1"/>
    <x v="4"/>
    <x v="4"/>
    <x v="5"/>
    <m/>
    <s v="LINGUAS EXTRANXEIRAS"/>
    <m/>
    <m/>
    <m/>
    <m/>
    <m/>
    <m/>
    <m/>
  </r>
  <r>
    <x v="220"/>
    <x v="64"/>
    <x v="106"/>
    <x v="148"/>
    <x v="1"/>
    <x v="1"/>
    <x v="4"/>
    <x v="4"/>
    <x v="5"/>
    <m/>
    <s v="BECAS NEAE SAMARA"/>
    <m/>
    <m/>
    <m/>
    <m/>
    <m/>
    <m/>
    <m/>
  </r>
  <r>
    <x v="221"/>
    <x v="64"/>
    <x v="106"/>
    <x v="4"/>
    <x v="1"/>
    <x v="1"/>
    <x v="4"/>
    <x v="4"/>
    <x v="5"/>
    <m/>
    <s v="BECAS NEAE SAMARA"/>
    <m/>
    <m/>
    <m/>
    <m/>
    <m/>
    <m/>
    <m/>
  </r>
  <r>
    <x v="222"/>
    <x v="64"/>
    <x v="103"/>
    <x v="149"/>
    <x v="1"/>
    <x v="1"/>
    <x v="4"/>
    <x v="4"/>
    <x v="5"/>
    <m/>
    <s v="PLAMBE MOBILIARIO"/>
    <m/>
    <m/>
    <m/>
    <m/>
    <m/>
    <m/>
    <m/>
  </r>
  <r>
    <x v="223"/>
    <x v="65"/>
    <x v="24"/>
    <x v="0"/>
    <x v="21"/>
    <x v="0"/>
    <x v="12"/>
    <x v="12"/>
    <x v="5"/>
    <m/>
    <s v="X.T. APRENDIZAXE LINGUAS ESTRANXEIRAS"/>
    <m/>
    <m/>
    <m/>
    <m/>
    <m/>
    <m/>
    <m/>
  </r>
  <r>
    <x v="224"/>
    <x v="66"/>
    <x v="24"/>
    <x v="0"/>
    <x v="22"/>
    <x v="0"/>
    <x v="18"/>
    <x v="18"/>
    <x v="5"/>
    <m/>
    <s v="PROGRAMA ÉXITO ESCOLAR-IMPULSO DAS MATEMÁTICAS"/>
    <m/>
    <m/>
    <m/>
    <m/>
    <m/>
    <m/>
    <m/>
  </r>
  <r>
    <x v="225"/>
    <x v="66"/>
    <x v="95"/>
    <x v="0"/>
    <x v="23"/>
    <x v="0"/>
    <x v="17"/>
    <x v="17"/>
    <x v="5"/>
    <m/>
    <s v="FONDO LIBROS "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  <r>
    <x v="226"/>
    <x v="67"/>
    <x v="107"/>
    <x v="0"/>
    <x v="1"/>
    <x v="2"/>
    <x v="19"/>
    <x v="19"/>
    <x v="6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1" cacheId="1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outline="1" outlineData="1" compactData="0" multipleFieldFilters="0">
  <location ref="A4:H243" firstHeaderRow="1" firstDataRow="1" firstDataCol="7" rowPageCount="1" colPageCount="1"/>
  <pivotFields count="18">
    <pivotField axis="axisRow" compact="0" outline="0" subtotalTop="0" showAll="0" defaultSubtotal="0">
      <items count="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26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</items>
    </pivotField>
    <pivotField axis="axisRow" compact="0" outline="0" subtotalTop="0" showAll="0" defaultSubtotal="0">
      <items count="69">
        <item x="0"/>
        <item x="7"/>
        <item x="21"/>
        <item x="11"/>
        <item x="22"/>
        <item x="3"/>
        <item x="8"/>
        <item x="16"/>
        <item x="1"/>
        <item x="12"/>
        <item x="2"/>
        <item x="13"/>
        <item x="23"/>
        <item x="14"/>
        <item x="24"/>
        <item x="25"/>
        <item x="4"/>
        <item x="9"/>
        <item x="27"/>
        <item x="17"/>
        <item x="18"/>
        <item x="19"/>
        <item x="15"/>
        <item x="28"/>
        <item x="5"/>
        <item x="29"/>
        <item x="6"/>
        <item x="20"/>
        <item x="30"/>
        <item x="31"/>
        <item x="10"/>
        <item x="67"/>
        <item x="32"/>
        <item x="33"/>
        <item x="26"/>
        <item x="34"/>
        <item x="35"/>
        <item x="36"/>
        <item x="37"/>
        <item x="38"/>
        <item x="39"/>
        <item m="1" x="6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40"/>
        <item x="61"/>
        <item x="62"/>
        <item x="63"/>
        <item x="64"/>
        <item x="65"/>
        <item x="66"/>
      </items>
    </pivotField>
    <pivotField axis="axisRow" compact="0" outline="0" subtotalTop="0" showAll="0" defaultSubtotal="0">
      <items count="116">
        <item x="1"/>
        <item x="49"/>
        <item x="42"/>
        <item x="9"/>
        <item x="67"/>
        <item x="7"/>
        <item x="10"/>
        <item x="38"/>
        <item x="51"/>
        <item x="59"/>
        <item x="50"/>
        <item x="25"/>
        <item x="22"/>
        <item x="16"/>
        <item x="24"/>
        <item x="44"/>
        <item x="45"/>
        <item x="46"/>
        <item x="68"/>
        <item x="21"/>
        <item x="41"/>
        <item x="52"/>
        <item x="37"/>
        <item x="61"/>
        <item x="32"/>
        <item x="48"/>
        <item m="1" x="109"/>
        <item x="47"/>
        <item x="54"/>
        <item x="58"/>
        <item x="36"/>
        <item x="35"/>
        <item x="34"/>
        <item x="31"/>
        <item x="29"/>
        <item x="19"/>
        <item x="13"/>
        <item x="17"/>
        <item x="12"/>
        <item x="55"/>
        <item x="53"/>
        <item x="30"/>
        <item x="20"/>
        <item x="15"/>
        <item x="18"/>
        <item x="14"/>
        <item x="70"/>
        <item x="69"/>
        <item x="60"/>
        <item x="64"/>
        <item x="43"/>
        <item x="26"/>
        <item x="5"/>
        <item x="8"/>
        <item x="4"/>
        <item x="6"/>
        <item x="40"/>
        <item x="56"/>
        <item x="27"/>
        <item x="33"/>
        <item x="39"/>
        <item x="62"/>
        <item x="28"/>
        <item x="0"/>
        <item m="1" x="114"/>
        <item m="1" x="112"/>
        <item x="63"/>
        <item x="57"/>
        <item x="65"/>
        <item x="23"/>
        <item x="11"/>
        <item x="66"/>
        <item x="107"/>
        <item m="1" x="110"/>
        <item x="3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111"/>
        <item x="84"/>
        <item x="85"/>
        <item x="86"/>
        <item x="87"/>
        <item x="88"/>
        <item x="89"/>
        <item x="90"/>
        <item x="91"/>
        <item m="1" x="115"/>
        <item x="93"/>
        <item x="94"/>
        <item x="95"/>
        <item x="96"/>
        <item x="97"/>
        <item x="92"/>
        <item x="98"/>
        <item x="2"/>
        <item x="99"/>
        <item x="100"/>
        <item x="101"/>
        <item m="1" x="113"/>
        <item x="102"/>
        <item m="1" x="108"/>
        <item x="104"/>
        <item x="105"/>
        <item x="106"/>
        <item x="103"/>
      </items>
    </pivotField>
    <pivotField axis="axisRow" dataField="1" compact="0" outline="0" subtotalTop="0" showAll="0">
      <items count="154">
        <item x="36"/>
        <item x="9"/>
        <item x="8"/>
        <item x="44"/>
        <item x="11"/>
        <item x="7"/>
        <item x="59"/>
        <item x="6"/>
        <item x="10"/>
        <item x="25"/>
        <item x="39"/>
        <item x="26"/>
        <item x="54"/>
        <item x="35"/>
        <item x="32"/>
        <item x="64"/>
        <item x="14"/>
        <item x="17"/>
        <item x="66"/>
        <item x="19"/>
        <item x="65"/>
        <item x="16"/>
        <item x="33"/>
        <item x="40"/>
        <item x="38"/>
        <item x="22"/>
        <item x="43"/>
        <item x="15"/>
        <item x="27"/>
        <item x="28"/>
        <item x="2"/>
        <item x="29"/>
        <item x="23"/>
        <item x="55"/>
        <item x="42"/>
        <item x="21"/>
        <item x="47"/>
        <item x="46"/>
        <item x="4"/>
        <item x="18"/>
        <item x="3"/>
        <item x="5"/>
        <item x="12"/>
        <item m="1" x="152"/>
        <item x="62"/>
        <item x="24"/>
        <item x="49"/>
        <item x="51"/>
        <item x="58"/>
        <item x="13"/>
        <item x="30"/>
        <item x="98"/>
        <item x="45"/>
        <item x="52"/>
        <item x="61"/>
        <item x="1"/>
        <item x="31"/>
        <item x="56"/>
        <item x="57"/>
        <item x="37"/>
        <item x="60"/>
        <item x="53"/>
        <item x="41"/>
        <item x="63"/>
        <item x="34"/>
        <item x="20"/>
        <item m="1" x="150"/>
        <item x="0"/>
        <item x="67"/>
        <item x="68"/>
        <item x="69"/>
        <item x="70"/>
        <item x="48"/>
        <item x="5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m="1" x="151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outline="0" subtotalTop="0" showAll="0"/>
    <pivotField axis="axisPage" compact="0" outline="0" subtotalTop="0" showAll="0">
      <items count="5">
        <item h="1" m="1" x="3"/>
        <item x="1"/>
        <item h="1" x="0"/>
        <item h="1" x="2"/>
        <item t="default"/>
      </items>
    </pivotField>
    <pivotField axis="axisRow" compact="0" outline="0" subtotalTop="0" showAll="0">
      <items count="22">
        <item x="1"/>
        <item x="2"/>
        <item x="6"/>
        <item x="9"/>
        <item x="5"/>
        <item x="3"/>
        <item x="7"/>
        <item x="4"/>
        <item x="10"/>
        <item x="11"/>
        <item x="8"/>
        <item x="19"/>
        <item x="0"/>
        <item m="1" x="20"/>
        <item x="13"/>
        <item x="14"/>
        <item x="15"/>
        <item x="17"/>
        <item x="16"/>
        <item x="18"/>
        <item x="12"/>
        <item t="default"/>
      </items>
    </pivotField>
    <pivotField axis="axisRow" compact="0" outline="0" subtotalTop="0" showAll="0" defaultSubtotal="0">
      <items count="21">
        <item m="1" x="20"/>
        <item x="1"/>
        <item x="7"/>
        <item x="4"/>
        <item x="6"/>
        <item x="3"/>
        <item x="2"/>
        <item x="19"/>
        <item x="5"/>
        <item x="9"/>
        <item x="0"/>
        <item x="8"/>
        <item x="10"/>
        <item x="11"/>
        <item x="13"/>
        <item x="14"/>
        <item x="15"/>
        <item x="17"/>
        <item x="16"/>
        <item x="18"/>
        <item x="12"/>
      </items>
    </pivotField>
    <pivotField axis="axisRow" compact="0" outline="0" subtotalTop="0" showAll="0">
      <items count="8">
        <item x="0"/>
        <item x="1"/>
        <item x="2"/>
        <item x="3"/>
        <item x="6"/>
        <item x="4"/>
        <item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7">
    <field x="6"/>
    <field x="7"/>
    <field x="8"/>
    <field x="2"/>
    <field x="1"/>
    <field x="0"/>
    <field x="3"/>
  </rowFields>
  <rowItems count="239">
    <i>
      <x/>
      <x v="1"/>
      <x v="1"/>
      <x/>
      <x v="8"/>
      <x v="1"/>
      <x v="55"/>
    </i>
    <i t="default" r="2">
      <x v="1"/>
    </i>
    <i r="2">
      <x v="3"/>
      <x v="21"/>
      <x v="12"/>
      <x v="79"/>
      <x v="62"/>
    </i>
    <i r="3">
      <x v="74"/>
      <x v="3"/>
      <x v="35"/>
      <x v="55"/>
    </i>
    <i t="default" r="2">
      <x v="3"/>
    </i>
    <i r="2">
      <x v="5"/>
      <x v="21"/>
      <x v="32"/>
      <x v="114"/>
      <x v="68"/>
    </i>
    <i r="4">
      <x v="38"/>
      <x v="121"/>
      <x v="75"/>
    </i>
    <i r="3">
      <x v="74"/>
      <x v="32"/>
      <x v="113"/>
      <x v="55"/>
    </i>
    <i t="default" r="2">
      <x v="5"/>
    </i>
    <i r="2">
      <x v="6"/>
      <x v="21"/>
      <x v="43"/>
      <x v="134"/>
      <x v="86"/>
    </i>
    <i r="4">
      <x v="49"/>
      <x v="161"/>
      <x v="86"/>
    </i>
    <i r="4">
      <x v="59"/>
      <x v="195"/>
      <x v="132"/>
    </i>
    <i t="default" r="2">
      <x v="6"/>
    </i>
    <i t="default">
      <x/>
    </i>
    <i>
      <x v="1"/>
      <x v="6"/>
      <x v="1"/>
      <x v="105"/>
      <x v="5"/>
      <x v="4"/>
      <x v="30"/>
    </i>
    <i r="4">
      <x v="6"/>
      <x v="22"/>
      <x v="30"/>
    </i>
    <i r="4">
      <x v="10"/>
      <x v="2"/>
      <x v="30"/>
    </i>
    <i t="default" r="2">
      <x v="1"/>
    </i>
    <i r="2">
      <x v="3"/>
      <x v="105"/>
      <x v="3"/>
      <x v="34"/>
      <x v="30"/>
    </i>
    <i r="4">
      <x v="4"/>
      <x v="75"/>
      <x v="30"/>
    </i>
    <i r="4">
      <x v="7"/>
      <x v="48"/>
      <x v="30"/>
    </i>
    <i t="default" r="2">
      <x v="3"/>
    </i>
    <i r="2">
      <x v="5"/>
      <x v="105"/>
      <x v="32"/>
      <x v="112"/>
      <x v="30"/>
    </i>
    <i r="4">
      <x v="36"/>
      <x v="118"/>
      <x v="30"/>
    </i>
    <i r="4">
      <x v="37"/>
      <x v="120"/>
      <x v="30"/>
    </i>
    <i t="default" r="2">
      <x v="5"/>
    </i>
    <i r="2">
      <x v="6"/>
      <x v="98"/>
      <x v="51"/>
      <x v="172"/>
      <x v="113"/>
    </i>
    <i r="4">
      <x v="65"/>
      <x v="215"/>
      <x v="145"/>
    </i>
    <i r="5">
      <x v="216"/>
      <x v="146"/>
    </i>
    <i r="3">
      <x v="105"/>
      <x v="42"/>
      <x v="131"/>
      <x v="84"/>
    </i>
    <i r="5">
      <x v="132"/>
      <x v="30"/>
    </i>
    <i r="4">
      <x v="49"/>
      <x v="162"/>
      <x v="30"/>
    </i>
    <i r="4">
      <x v="58"/>
      <x v="193"/>
      <x v="30"/>
    </i>
    <i t="default" r="2">
      <x v="6"/>
    </i>
    <i t="default">
      <x v="1"/>
    </i>
    <i>
      <x v="2"/>
      <x v="4"/>
      <x v="1"/>
      <x v="5"/>
      <x v="24"/>
      <x v="11"/>
      <x v="8"/>
    </i>
    <i r="5">
      <x v="12"/>
      <x v="4"/>
    </i>
    <i r="4">
      <x v="28"/>
      <x v="107"/>
      <x v="20"/>
    </i>
    <i r="5">
      <x v="108"/>
      <x v="18"/>
    </i>
    <i t="default" r="2">
      <x v="1"/>
    </i>
    <i r="2">
      <x v="5"/>
      <x v="67"/>
      <x v="40"/>
      <x v="126"/>
      <x v="79"/>
    </i>
    <i t="default" r="2">
      <x v="5"/>
    </i>
    <i r="2">
      <x v="6"/>
      <x v="67"/>
      <x v="43"/>
      <x v="136"/>
      <x v="88"/>
    </i>
    <i r="3">
      <x v="85"/>
      <x v="45"/>
      <x v="142"/>
      <x v="94"/>
    </i>
    <i t="default" r="2">
      <x v="6"/>
    </i>
    <i t="default">
      <x v="2"/>
    </i>
    <i>
      <x v="3"/>
      <x v="9"/>
      <x v="1"/>
      <x v="19"/>
      <x v="17"/>
      <x v="29"/>
      <x v="65"/>
    </i>
    <i t="default" r="2">
      <x v="1"/>
    </i>
    <i r="2">
      <x v="5"/>
      <x v="19"/>
      <x v="42"/>
      <x v="129"/>
      <x v="82"/>
    </i>
    <i t="default" r="2">
      <x v="5"/>
    </i>
    <i t="default">
      <x v="3"/>
    </i>
    <i>
      <x v="4"/>
      <x v="8"/>
      <x v="1"/>
      <x v="3"/>
      <x v="24"/>
      <x v="14"/>
      <x v="49"/>
    </i>
    <i r="3">
      <x v="5"/>
      <x v="17"/>
      <x v="28"/>
      <x v="19"/>
    </i>
    <i r="3">
      <x v="6"/>
      <x v="24"/>
      <x v="15"/>
      <x v="16"/>
    </i>
    <i r="3">
      <x v="12"/>
      <x v="30"/>
      <x v="32"/>
      <x v="25"/>
    </i>
    <i r="3">
      <x v="52"/>
      <x v="16"/>
      <x v="7"/>
      <x v="7"/>
    </i>
    <i r="3">
      <x v="55"/>
      <x v="24"/>
      <x v="8"/>
      <x v="5"/>
    </i>
    <i r="5">
      <x v="9"/>
      <x v="2"/>
    </i>
    <i r="5">
      <x v="10"/>
      <x v="1"/>
    </i>
    <i t="default" r="2">
      <x v="1"/>
    </i>
    <i r="2">
      <x v="2"/>
      <x v="70"/>
      <x v="24"/>
      <x v="16"/>
      <x v="27"/>
    </i>
    <i t="default" r="2">
      <x v="2"/>
    </i>
    <i r="2">
      <x v="3"/>
      <x v="25"/>
      <x v="2"/>
      <x v="74"/>
      <x v="4"/>
    </i>
    <i r="3">
      <x v="50"/>
      <x v="27"/>
      <x v="65"/>
      <x v="24"/>
    </i>
    <i r="3">
      <x v="51"/>
      <x v="13"/>
      <x v="42"/>
      <x v="9"/>
    </i>
    <i r="3">
      <x v="56"/>
      <x v="21"/>
      <x v="61"/>
      <x v="13"/>
    </i>
    <i r="5">
      <x v="62"/>
      <x/>
    </i>
    <i r="3">
      <x v="57"/>
      <x v="14"/>
      <x v="84"/>
      <x v="3"/>
    </i>
    <i r="3">
      <x v="58"/>
      <x v="22"/>
      <x v="43"/>
      <x v="11"/>
    </i>
    <i r="3">
      <x v="62"/>
      <x v="22"/>
      <x v="44"/>
      <x v="28"/>
    </i>
    <i t="default" r="2">
      <x v="3"/>
    </i>
    <i r="2">
      <x v="5"/>
      <x v="3"/>
      <x v="35"/>
      <x v="116"/>
      <x v="70"/>
    </i>
    <i r="3">
      <x v="52"/>
      <x v="40"/>
      <x v="123"/>
      <x v="76"/>
    </i>
    <i r="5">
      <x v="124"/>
      <x v="77"/>
    </i>
    <i r="4">
      <x v="62"/>
      <x v="128"/>
      <x v="81"/>
    </i>
    <i t="default" r="2">
      <x v="5"/>
    </i>
    <i r="2">
      <x v="6"/>
      <x v="25"/>
      <x v="60"/>
      <x v="203"/>
      <x v="136"/>
    </i>
    <i r="3">
      <x v="52"/>
      <x v="42"/>
      <x v="130"/>
      <x v="83"/>
    </i>
    <i r="4">
      <x v="46"/>
      <x v="145"/>
      <x v="97"/>
    </i>
    <i r="4">
      <x v="51"/>
      <x v="174"/>
      <x v="115"/>
    </i>
    <i r="4">
      <x v="55"/>
      <x v="184"/>
      <x v="122"/>
    </i>
    <i r="5">
      <x v="185"/>
      <x v="123"/>
    </i>
    <i r="4">
      <x v="56"/>
      <x v="186"/>
      <x v="124"/>
    </i>
    <i r="4">
      <x v="61"/>
      <x v="206"/>
      <x v="136"/>
    </i>
    <i r="5">
      <x v="207"/>
      <x v="138"/>
    </i>
    <i r="3">
      <x v="80"/>
      <x v="44"/>
      <x v="137"/>
      <x v="89"/>
    </i>
    <i r="4">
      <x v="57"/>
      <x v="191"/>
      <x v="129"/>
    </i>
    <i r="5">
      <x v="192"/>
      <x v="130"/>
    </i>
    <i r="3">
      <x v="81"/>
      <x v="44"/>
      <x v="138"/>
      <x v="90"/>
    </i>
    <i r="3">
      <x v="82"/>
      <x v="44"/>
      <x v="139"/>
      <x v="91"/>
    </i>
    <i r="3">
      <x v="86"/>
      <x v="46"/>
      <x v="144"/>
      <x v="96"/>
    </i>
    <i r="3">
      <x v="96"/>
      <x v="50"/>
      <x v="170"/>
      <x v="111"/>
    </i>
    <i r="3">
      <x v="103"/>
      <x v="50"/>
      <x v="171"/>
      <x v="112"/>
    </i>
    <i r="4">
      <x v="56"/>
      <x v="187"/>
      <x v="125"/>
    </i>
    <i r="3">
      <x v="106"/>
      <x v="60"/>
      <x v="204"/>
      <x v="137"/>
    </i>
    <i r="3">
      <x v="108"/>
      <x v="63"/>
      <x v="208"/>
      <x v="139"/>
    </i>
    <i r="3">
      <x v="110"/>
      <x v="64"/>
      <x v="210"/>
      <x v="141"/>
    </i>
    <i t="default" r="2">
      <x v="6"/>
    </i>
    <i t="default">
      <x v="4"/>
    </i>
    <i>
      <x v="5"/>
      <x v="5"/>
      <x v="1"/>
      <x v="74"/>
      <x v="10"/>
      <x v="3"/>
      <x v="40"/>
    </i>
    <i t="default" r="2">
      <x v="1"/>
    </i>
    <i t="default">
      <x v="5"/>
    </i>
    <i>
      <x v="6"/>
      <x v="2"/>
      <x v="1"/>
      <x v="35"/>
      <x v="6"/>
      <x v="25"/>
      <x v="17"/>
    </i>
    <i r="3">
      <x v="36"/>
      <x v="26"/>
      <x v="18"/>
      <x v="21"/>
    </i>
    <i r="3">
      <x v="37"/>
      <x v="6"/>
      <x v="23"/>
      <x v="17"/>
    </i>
    <i r="3">
      <x v="38"/>
      <x v="26"/>
      <x v="17"/>
      <x v="21"/>
    </i>
    <i r="3">
      <x v="42"/>
      <x v="6"/>
      <x v="26"/>
      <x v="17"/>
    </i>
    <i r="3">
      <x v="43"/>
      <x v="26"/>
      <x v="20"/>
      <x v="21"/>
    </i>
    <i r="3">
      <x v="44"/>
      <x v="6"/>
      <x v="24"/>
      <x v="17"/>
    </i>
    <i r="3">
      <x v="45"/>
      <x v="26"/>
      <x v="19"/>
      <x v="21"/>
    </i>
    <i r="3">
      <x v="69"/>
      <x v="30"/>
      <x v="33"/>
      <x v="32"/>
    </i>
    <i t="default" r="2">
      <x v="1"/>
    </i>
    <i r="2">
      <x v="3"/>
      <x v="4"/>
      <x v="25"/>
      <x v="105"/>
      <x v="63"/>
    </i>
    <i r="3">
      <x v="28"/>
      <x v="14"/>
      <x v="82"/>
      <x v="17"/>
    </i>
    <i r="3">
      <x v="30"/>
      <x v="19"/>
      <x v="54"/>
      <x v="14"/>
    </i>
    <i r="3">
      <x v="31"/>
      <x v="19"/>
      <x v="53"/>
      <x v="22"/>
    </i>
    <i r="3">
      <x v="32"/>
      <x v="19"/>
      <x v="52"/>
      <x v="14"/>
    </i>
    <i r="3">
      <x v="33"/>
      <x v="22"/>
      <x v="47"/>
      <x v="17"/>
    </i>
    <i r="3">
      <x v="34"/>
      <x v="22"/>
      <x v="45"/>
      <x v="29"/>
    </i>
    <i r="3">
      <x v="39"/>
      <x v="14"/>
      <x v="83"/>
      <x v="17"/>
    </i>
    <i r="3">
      <x v="40"/>
      <x v="14"/>
      <x v="81"/>
      <x v="26"/>
    </i>
    <i r="3">
      <x v="41"/>
      <x v="22"/>
      <x v="46"/>
      <x v="17"/>
    </i>
    <i r="3">
      <x v="46"/>
      <x v="29"/>
      <x v="110"/>
      <x v="14"/>
    </i>
    <i r="3">
      <x v="47"/>
      <x v="29"/>
      <x v="109"/>
      <x v="14"/>
    </i>
    <i t="default" r="2">
      <x v="3"/>
    </i>
    <i r="2">
      <x v="6"/>
      <x v="78"/>
      <x v="42"/>
      <x v="133"/>
      <x v="85"/>
    </i>
    <i r="3">
      <x v="91"/>
      <x v="48"/>
      <x v="160"/>
      <x v="103"/>
    </i>
    <i r="3">
      <x v="93"/>
      <x v="49"/>
      <x v="167"/>
      <x v="108"/>
    </i>
    <i r="3">
      <x v="94"/>
      <x v="49"/>
      <x v="168"/>
      <x v="109"/>
    </i>
    <i r="3">
      <x v="102"/>
      <x v="54"/>
      <x v="180"/>
      <x v="119"/>
    </i>
    <i r="5">
      <x v="181"/>
      <x v="119"/>
    </i>
    <i r="5">
      <x v="182"/>
      <x v="120"/>
    </i>
    <i t="default" r="2">
      <x v="6"/>
    </i>
    <i t="default">
      <x v="6"/>
    </i>
    <i>
      <x v="7"/>
      <x v="3"/>
      <x v="1"/>
      <x v="13"/>
      <x v="6"/>
      <x v="27"/>
      <x v="39"/>
    </i>
    <i r="3">
      <x v="53"/>
      <x v="24"/>
      <x v="13"/>
      <x v="42"/>
    </i>
    <i r="3">
      <x v="54"/>
      <x v="13"/>
      <x v="38"/>
      <x v="25"/>
    </i>
    <i r="5">
      <x v="39"/>
      <x v="35"/>
    </i>
    <i r="5">
      <x v="40"/>
      <x v="38"/>
    </i>
    <i r="4">
      <x v="16"/>
      <x v="5"/>
      <x v="38"/>
    </i>
    <i r="5">
      <x v="6"/>
      <x v="41"/>
    </i>
    <i r="4">
      <x v="17"/>
      <x v="30"/>
      <x v="35"/>
    </i>
    <i r="5">
      <x v="31"/>
      <x v="35"/>
    </i>
    <i t="default" r="2">
      <x v="1"/>
    </i>
    <i r="2">
      <x v="3"/>
      <x v="2"/>
      <x v="2"/>
      <x v="68"/>
      <x v="56"/>
    </i>
    <i r="4">
      <x v="27"/>
      <x v="64"/>
      <x v="50"/>
    </i>
    <i r="3">
      <x v="6"/>
      <x v="14"/>
      <x v="80"/>
      <x v="34"/>
    </i>
    <i r="4">
      <x v="23"/>
      <x v="101"/>
      <x v="6"/>
    </i>
    <i r="3">
      <x v="11"/>
      <x v="19"/>
      <x v="55"/>
      <x v="64"/>
    </i>
    <i r="3">
      <x v="15"/>
      <x v="2"/>
      <x v="69"/>
      <x v="10"/>
    </i>
    <i r="3">
      <x v="16"/>
      <x v="2"/>
      <x v="70"/>
      <x v="10"/>
    </i>
    <i r="3">
      <x v="17"/>
      <x v="2"/>
      <x v="71"/>
      <x v="25"/>
    </i>
    <i r="5">
      <x v="72"/>
      <x v="25"/>
    </i>
    <i r="3">
      <x v="18"/>
      <x v="28"/>
      <x v="106"/>
      <x v="15"/>
    </i>
    <i r="3">
      <x v="20"/>
      <x v="21"/>
      <x v="63"/>
      <x v="59"/>
    </i>
    <i r="3">
      <x v="23"/>
      <x v="15"/>
      <x v="95"/>
      <x v="12"/>
    </i>
    <i r="3">
      <x v="24"/>
      <x v="19"/>
      <x v="49"/>
      <x v="31"/>
    </i>
    <i r="3">
      <x v="27"/>
      <x v="2"/>
      <x v="73"/>
      <x v="23"/>
    </i>
    <i r="3">
      <x v="29"/>
      <x v="14"/>
      <x v="87"/>
      <x v="36"/>
    </i>
    <i r="3">
      <x v="48"/>
      <x v="15"/>
      <x v="93"/>
      <x v="53"/>
    </i>
    <i r="5">
      <x v="94"/>
      <x v="61"/>
    </i>
    <i r="3">
      <x v="49"/>
      <x v="23"/>
      <x v="102"/>
      <x v="60"/>
    </i>
    <i r="3">
      <x v="53"/>
      <x v="13"/>
      <x v="41"/>
      <x v="45"/>
    </i>
    <i r="4">
      <x v="23"/>
      <x v="100"/>
      <x v="48"/>
    </i>
    <i r="3">
      <x v="54"/>
      <x v="2"/>
      <x v="66"/>
      <x v="38"/>
    </i>
    <i r="5">
      <x v="67"/>
      <x v="38"/>
    </i>
    <i r="4">
      <x v="15"/>
      <x v="90"/>
      <x v="46"/>
    </i>
    <i r="5">
      <x v="92"/>
      <x v="47"/>
    </i>
    <i r="4">
      <x v="19"/>
      <x v="56"/>
      <x v="35"/>
    </i>
    <i r="5">
      <x v="57"/>
      <x v="38"/>
    </i>
    <i r="4">
      <x v="34"/>
      <x v="89"/>
      <x v="72"/>
    </i>
    <i r="5">
      <x v="91"/>
      <x v="73"/>
    </i>
    <i r="3">
      <x v="59"/>
      <x v="19"/>
      <x v="50"/>
      <x v="50"/>
    </i>
    <i r="5">
      <x v="51"/>
      <x v="56"/>
    </i>
    <i r="3">
      <x v="61"/>
      <x v="23"/>
      <x v="97"/>
      <x v="33"/>
    </i>
    <i r="5">
      <x v="98"/>
      <x v="57"/>
    </i>
    <i r="3">
      <x v="66"/>
      <x v="23"/>
      <x v="99"/>
      <x v="58"/>
    </i>
    <i r="3">
      <x v="67"/>
      <x v="14"/>
      <x v="85"/>
      <x v="52"/>
    </i>
    <i r="3">
      <x v="68"/>
      <x v="23"/>
      <x v="103"/>
      <x v="54"/>
    </i>
    <i r="3">
      <x v="70"/>
      <x v="14"/>
      <x v="86"/>
      <x v="37"/>
    </i>
    <i r="3">
      <x v="71"/>
      <x v="23"/>
      <x v="104"/>
      <x v="44"/>
    </i>
    <i t="default" r="2">
      <x v="3"/>
    </i>
    <i r="2">
      <x v="5"/>
      <x v="6"/>
      <x v="62"/>
      <x v="127"/>
      <x v="80"/>
    </i>
    <i r="3">
      <x v="67"/>
      <x v="36"/>
      <x v="119"/>
      <x v="74"/>
    </i>
    <i r="3">
      <x v="75"/>
      <x v="33"/>
      <x v="115"/>
      <x v="69"/>
    </i>
    <i r="3">
      <x v="76"/>
      <x v="35"/>
      <x v="117"/>
      <x v="71"/>
    </i>
    <i r="3">
      <x v="77"/>
      <x v="40"/>
      <x v="125"/>
      <x v="78"/>
    </i>
    <i t="default" r="2">
      <x v="5"/>
    </i>
    <i r="2">
      <x v="6"/>
      <x v="5"/>
      <x v="46"/>
      <x v="147"/>
      <x v="99"/>
    </i>
    <i r="3">
      <x v="6"/>
      <x v="54"/>
      <x v="179"/>
      <x v="118"/>
    </i>
    <i r="4">
      <x v="56"/>
      <x v="188"/>
      <x v="126"/>
    </i>
    <i r="3">
      <x v="27"/>
      <x v="58"/>
      <x v="194"/>
      <x v="131"/>
    </i>
    <i r="3">
      <x v="48"/>
      <x v="46"/>
      <x v="148"/>
      <x v="100"/>
    </i>
    <i r="5">
      <x v="149"/>
      <x v="51"/>
    </i>
    <i r="3">
      <x v="53"/>
      <x v="45"/>
      <x v="143"/>
      <x v="95"/>
    </i>
    <i r="4">
      <x v="51"/>
      <x v="173"/>
      <x v="114"/>
    </i>
    <i r="4">
      <x v="60"/>
      <x v="196"/>
      <x v="114"/>
    </i>
    <i r="3">
      <x v="54"/>
      <x v="49"/>
      <x v="165"/>
      <x v="106"/>
    </i>
    <i r="5">
      <x v="166"/>
      <x v="107"/>
    </i>
    <i r="4">
      <x v="60"/>
      <x v="198"/>
      <x v="134"/>
    </i>
    <i r="5">
      <x v="199"/>
      <x v="134"/>
    </i>
    <i r="5">
      <x v="200"/>
      <x v="135"/>
    </i>
    <i r="5">
      <x v="201"/>
      <x v="51"/>
    </i>
    <i r="5">
      <x v="202"/>
      <x v="135"/>
    </i>
    <i r="3">
      <x v="67"/>
      <x v="54"/>
      <x v="178"/>
      <x v="117"/>
    </i>
    <i r="4">
      <x v="56"/>
      <x v="189"/>
      <x v="127"/>
    </i>
    <i r="4">
      <x v="65"/>
      <x v="212"/>
      <x v="142"/>
    </i>
    <i r="5">
      <x v="213"/>
      <x v="143"/>
    </i>
    <i r="5">
      <x v="214"/>
      <x v="144"/>
    </i>
    <i r="5">
      <x v="220"/>
      <x v="150"/>
    </i>
    <i r="3">
      <x v="70"/>
      <x v="49"/>
      <x v="164"/>
      <x v="105"/>
    </i>
    <i r="3">
      <x v="76"/>
      <x v="64"/>
      <x v="209"/>
      <x v="140"/>
    </i>
    <i r="3">
      <x v="84"/>
      <x v="44"/>
      <x v="141"/>
      <x v="93"/>
    </i>
    <i r="3">
      <x v="87"/>
      <x v="46"/>
      <x v="146"/>
      <x v="98"/>
    </i>
    <i r="3">
      <x v="89"/>
      <x v="47"/>
      <x v="151"/>
      <x v="102"/>
    </i>
    <i r="3">
      <x v="92"/>
      <x v="49"/>
      <x v="163"/>
      <x v="104"/>
    </i>
    <i r="4">
      <x v="60"/>
      <x v="197"/>
      <x v="133"/>
    </i>
    <i r="3">
      <x v="95"/>
      <x v="50"/>
      <x v="169"/>
      <x v="110"/>
    </i>
    <i r="3">
      <x v="101"/>
      <x v="53"/>
      <x v="177"/>
      <x v="51"/>
    </i>
    <i r="3">
      <x v="104"/>
      <x v="56"/>
      <x v="190"/>
      <x v="128"/>
    </i>
    <i r="3">
      <x v="112"/>
      <x v="65"/>
      <x v="218"/>
      <x v="148"/>
    </i>
    <i r="3">
      <x v="113"/>
      <x v="65"/>
      <x v="219"/>
      <x v="149"/>
    </i>
    <i r="3">
      <x v="114"/>
      <x v="66"/>
      <x v="221"/>
      <x v="151"/>
    </i>
    <i r="5">
      <x v="222"/>
      <x v="38"/>
    </i>
    <i r="3">
      <x v="115"/>
      <x v="66"/>
      <x v="223"/>
      <x v="152"/>
    </i>
    <i t="default" r="2">
      <x v="6"/>
    </i>
    <i t="default">
      <x v="7"/>
    </i>
    <i>
      <x v="14"/>
      <x v="14"/>
      <x v="6"/>
      <x v="79"/>
      <x v="43"/>
      <x v="135"/>
      <x v="87"/>
    </i>
    <i r="4">
      <x v="55"/>
      <x v="183"/>
      <x v="121"/>
    </i>
    <i t="default" r="2">
      <x v="6"/>
    </i>
    <i t="default">
      <x v="14"/>
    </i>
    <i>
      <x v="15"/>
      <x v="15"/>
      <x v="6"/>
      <x v="83"/>
      <x v="44"/>
      <x v="140"/>
      <x v="92"/>
    </i>
    <i r="3">
      <x v="115"/>
      <x v="65"/>
      <x v="217"/>
      <x v="147"/>
    </i>
    <i t="default" r="2">
      <x v="6"/>
    </i>
    <i t="default">
      <x v="15"/>
    </i>
    <i>
      <x v="18"/>
      <x v="18"/>
      <x v="6"/>
      <x v="99"/>
      <x v="51"/>
      <x v="175"/>
      <x v="116"/>
    </i>
    <i t="default" r="2">
      <x v="6"/>
    </i>
    <i t="default">
      <x v="18"/>
    </i>
    <i t="grand">
      <x/>
    </i>
  </rowItems>
  <colItems count="1">
    <i/>
  </colItems>
  <pageFields count="1">
    <pageField fld="5" item="1" hier="-1"/>
  </pageFields>
  <dataFields count="1">
    <dataField name="Suma de DEBE" fld="3" baseField="0" baseItem="0"/>
  </dataFields>
  <formats count="3">
    <format dxfId="19">
      <pivotArea field="0" type="button" dataOnly="0" labelOnly="1" outline="0" axis="axisRow" fieldPosition="5"/>
    </format>
    <format dxfId="18">
      <pivotArea field="1" type="button" dataOnly="0" labelOnly="1" outline="0" axis="axisRow" fieldPosition="4"/>
    </format>
    <format dxfId="17">
      <pivotArea field="3" type="button" dataOnly="0" labelOnly="1" outline="0" axis="axisRow" fieldPosition="6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1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4:H54" firstHeaderRow="1" firstDataRow="1" firstDataCol="7" rowPageCount="1" colPageCount="1"/>
  <pivotFields count="18">
    <pivotField axis="axisRow" compact="0" outline="0" subtotalTop="0" showAll="0" defaultSubtotal="0">
      <items count="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26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</items>
    </pivotField>
    <pivotField axis="axisRow" compact="0" outline="0" subtotalTop="0" showAll="0" defaultSubtotal="0">
      <items count="69">
        <item x="0"/>
        <item x="7"/>
        <item x="21"/>
        <item x="11"/>
        <item x="22"/>
        <item x="3"/>
        <item x="8"/>
        <item x="16"/>
        <item x="1"/>
        <item x="12"/>
        <item x="2"/>
        <item x="13"/>
        <item x="23"/>
        <item x="14"/>
        <item x="24"/>
        <item x="25"/>
        <item x="4"/>
        <item x="9"/>
        <item x="27"/>
        <item x="17"/>
        <item x="18"/>
        <item x="19"/>
        <item x="15"/>
        <item x="28"/>
        <item x="5"/>
        <item x="29"/>
        <item x="6"/>
        <item x="20"/>
        <item x="30"/>
        <item x="31"/>
        <item x="10"/>
        <item x="67"/>
        <item x="32"/>
        <item x="33"/>
        <item x="26"/>
        <item x="34"/>
        <item x="35"/>
        <item x="36"/>
        <item x="37"/>
        <item x="38"/>
        <item x="39"/>
        <item m="1" x="6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40"/>
        <item x="61"/>
        <item x="62"/>
        <item x="63"/>
        <item x="64"/>
        <item x="65"/>
        <item x="66"/>
      </items>
    </pivotField>
    <pivotField axis="axisRow" compact="0" outline="0" subtotalTop="0" showAll="0" defaultSubtotal="0">
      <items count="116">
        <item x="1"/>
        <item x="49"/>
        <item x="42"/>
        <item x="9"/>
        <item x="67"/>
        <item x="7"/>
        <item x="10"/>
        <item x="38"/>
        <item x="51"/>
        <item x="59"/>
        <item x="50"/>
        <item x="25"/>
        <item x="22"/>
        <item x="16"/>
        <item x="24"/>
        <item x="44"/>
        <item x="45"/>
        <item x="46"/>
        <item x="68"/>
        <item x="21"/>
        <item x="41"/>
        <item x="52"/>
        <item x="37"/>
        <item x="61"/>
        <item x="32"/>
        <item x="48"/>
        <item m="1" x="109"/>
        <item x="47"/>
        <item x="54"/>
        <item x="58"/>
        <item x="36"/>
        <item x="35"/>
        <item x="34"/>
        <item x="31"/>
        <item x="29"/>
        <item x="19"/>
        <item x="13"/>
        <item x="17"/>
        <item x="12"/>
        <item x="55"/>
        <item x="53"/>
        <item x="30"/>
        <item x="20"/>
        <item x="15"/>
        <item x="18"/>
        <item x="14"/>
        <item x="70"/>
        <item x="69"/>
        <item x="60"/>
        <item x="64"/>
        <item x="43"/>
        <item x="26"/>
        <item x="5"/>
        <item x="8"/>
        <item x="4"/>
        <item x="6"/>
        <item x="40"/>
        <item x="56"/>
        <item x="27"/>
        <item x="33"/>
        <item x="39"/>
        <item x="62"/>
        <item x="28"/>
        <item x="0"/>
        <item m="1" x="114"/>
        <item m="1" x="112"/>
        <item x="63"/>
        <item x="57"/>
        <item x="65"/>
        <item x="23"/>
        <item x="11"/>
        <item x="66"/>
        <item x="107"/>
        <item m="1" x="110"/>
        <item x="3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111"/>
        <item x="84"/>
        <item x="85"/>
        <item x="86"/>
        <item x="87"/>
        <item x="88"/>
        <item x="89"/>
        <item x="90"/>
        <item x="91"/>
        <item m="1" x="115"/>
        <item x="93"/>
        <item x="94"/>
        <item x="95"/>
        <item x="96"/>
        <item x="97"/>
        <item x="92"/>
        <item x="98"/>
        <item x="2"/>
        <item x="99"/>
        <item x="100"/>
        <item x="101"/>
        <item m="1" x="113"/>
        <item x="102"/>
        <item m="1" x="108"/>
        <item x="104"/>
        <item x="105"/>
        <item x="106"/>
        <item x="103"/>
      </items>
    </pivotField>
    <pivotField compact="0" outline="0" subtotalTop="0" showAll="0">
      <items count="154">
        <item x="36"/>
        <item x="9"/>
        <item x="8"/>
        <item x="44"/>
        <item x="11"/>
        <item x="7"/>
        <item x="59"/>
        <item x="6"/>
        <item x="10"/>
        <item x="25"/>
        <item x="39"/>
        <item x="26"/>
        <item x="54"/>
        <item x="35"/>
        <item x="32"/>
        <item x="64"/>
        <item x="14"/>
        <item x="17"/>
        <item x="66"/>
        <item x="19"/>
        <item x="65"/>
        <item x="16"/>
        <item x="33"/>
        <item x="40"/>
        <item x="38"/>
        <item x="22"/>
        <item x="43"/>
        <item x="15"/>
        <item x="27"/>
        <item x="28"/>
        <item x="2"/>
        <item x="29"/>
        <item x="23"/>
        <item x="55"/>
        <item x="42"/>
        <item x="21"/>
        <item x="47"/>
        <item x="46"/>
        <item x="4"/>
        <item x="18"/>
        <item x="3"/>
        <item x="5"/>
        <item x="12"/>
        <item m="1" x="152"/>
        <item x="62"/>
        <item x="24"/>
        <item x="49"/>
        <item x="51"/>
        <item x="58"/>
        <item x="13"/>
        <item x="30"/>
        <item x="98"/>
        <item x="45"/>
        <item x="52"/>
        <item x="61"/>
        <item x="1"/>
        <item x="31"/>
        <item x="56"/>
        <item x="57"/>
        <item x="37"/>
        <item x="60"/>
        <item x="53"/>
        <item x="41"/>
        <item x="63"/>
        <item x="34"/>
        <item x="20"/>
        <item m="1" x="150"/>
        <item x="0"/>
        <item x="67"/>
        <item x="68"/>
        <item x="69"/>
        <item x="70"/>
        <item x="48"/>
        <item x="5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m="1" x="151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dataField="1" compact="0" outline="0" subtotalTop="0" showAll="0">
      <items count="28">
        <item m="1" x="24"/>
        <item x="2"/>
        <item x="10"/>
        <item x="6"/>
        <item x="9"/>
        <item x="8"/>
        <item x="7"/>
        <item x="5"/>
        <item x="4"/>
        <item x="11"/>
        <item x="3"/>
        <item x="0"/>
        <item m="1" x="26"/>
        <item x="1"/>
        <item x="19"/>
        <item x="12"/>
        <item m="1" x="25"/>
        <item x="13"/>
        <item x="14"/>
        <item x="15"/>
        <item x="16"/>
        <item x="17"/>
        <item x="18"/>
        <item x="20"/>
        <item x="21"/>
        <item x="22"/>
        <item x="23"/>
        <item t="default"/>
      </items>
    </pivotField>
    <pivotField axis="axisPage" compact="0" outline="0" subtotalTop="0" showAll="0">
      <items count="5">
        <item h="1" m="1" x="3"/>
        <item h="1" x="1"/>
        <item x="0"/>
        <item h="1" x="2"/>
        <item t="default"/>
      </items>
    </pivotField>
    <pivotField axis="axisRow" compact="0" outline="0" subtotalTop="0" showAll="0">
      <items count="22">
        <item x="1"/>
        <item x="2"/>
        <item x="6"/>
        <item x="9"/>
        <item x="5"/>
        <item x="3"/>
        <item x="7"/>
        <item x="4"/>
        <item x="10"/>
        <item x="11"/>
        <item x="8"/>
        <item x="19"/>
        <item x="0"/>
        <item m="1" x="20"/>
        <item x="13"/>
        <item x="14"/>
        <item x="15"/>
        <item x="17"/>
        <item x="16"/>
        <item x="18"/>
        <item x="12"/>
        <item t="default"/>
      </items>
    </pivotField>
    <pivotField axis="axisRow" compact="0" outline="0" showAll="0" defaultSubtotal="0">
      <items count="21">
        <item m="1" x="20"/>
        <item x="1"/>
        <item x="7"/>
        <item x="4"/>
        <item x="6"/>
        <item x="3"/>
        <item x="2"/>
        <item x="19"/>
        <item x="5"/>
        <item x="9"/>
        <item x="0"/>
        <item x="8"/>
        <item x="10"/>
        <item x="11"/>
        <item x="13"/>
        <item x="14"/>
        <item x="15"/>
        <item x="17"/>
        <item x="16"/>
        <item x="18"/>
        <item x="12"/>
      </items>
    </pivotField>
    <pivotField axis="axisRow" compact="0" outline="0" subtotalTop="0" showAll="0">
      <items count="8">
        <item x="0"/>
        <item x="1"/>
        <item x="2"/>
        <item x="3"/>
        <item x="6"/>
        <item x="4"/>
        <item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7">
    <field x="6"/>
    <field x="7"/>
    <field x="8"/>
    <field x="2"/>
    <field x="1"/>
    <field x="0"/>
    <field x="4"/>
  </rowFields>
  <rowItems count="50">
    <i>
      <x v="8"/>
      <x v="12"/>
      <x v="3"/>
      <x v="14"/>
      <x v="9"/>
      <x v="36"/>
      <x v="10"/>
    </i>
    <i r="4">
      <x v="18"/>
      <x v="96"/>
      <x v="9"/>
    </i>
    <i t="default" r="2">
      <x v="3"/>
    </i>
    <i r="2">
      <x v="6"/>
      <x v="14"/>
      <x v="48"/>
      <x v="153"/>
      <x v="9"/>
    </i>
    <i r="4">
      <x v="65"/>
      <x v="211"/>
      <x v="23"/>
    </i>
    <i t="default" r="2">
      <x v="6"/>
    </i>
    <i t="default">
      <x v="8"/>
    </i>
    <i>
      <x v="9"/>
      <x v="13"/>
      <x v="3"/>
      <x v="11"/>
      <x v="11"/>
      <x v="37"/>
      <x v="8"/>
    </i>
    <i t="default" r="2">
      <x v="3"/>
    </i>
    <i r="2">
      <x v="6"/>
      <x v="90"/>
      <x v="48"/>
      <x v="154"/>
      <x v="19"/>
    </i>
    <i r="5">
      <x v="155"/>
      <x v="20"/>
    </i>
    <i r="5">
      <x v="156"/>
      <x v="8"/>
    </i>
    <i r="5">
      <x v="157"/>
      <x v="20"/>
    </i>
    <i r="5">
      <x v="158"/>
      <x v="20"/>
    </i>
    <i t="default" r="2">
      <x v="6"/>
    </i>
    <i t="default">
      <x v="9"/>
    </i>
    <i>
      <x v="10"/>
      <x v="11"/>
      <x v="1"/>
      <x v="13"/>
      <x v="1"/>
      <x v="21"/>
      <x v="1"/>
    </i>
    <i t="default" r="2">
      <x v="1"/>
    </i>
    <i r="2">
      <x v="3"/>
      <x v="1"/>
      <x v="4"/>
      <x v="76"/>
      <x v="6"/>
    </i>
    <i r="3">
      <x v="7"/>
      <x v="20"/>
      <x v="59"/>
      <x v="3"/>
    </i>
    <i r="3">
      <x v="8"/>
      <x v="4"/>
      <x v="78"/>
      <x v="4"/>
    </i>
    <i r="3">
      <x v="9"/>
      <x v="15"/>
      <x v="88"/>
      <x v="2"/>
    </i>
    <i r="3">
      <x v="10"/>
      <x v="4"/>
      <x v="77"/>
      <x v="5"/>
    </i>
    <i r="3">
      <x v="22"/>
      <x v="20"/>
      <x v="58"/>
      <x v="7"/>
    </i>
    <i r="3">
      <x v="60"/>
      <x v="20"/>
      <x v="60"/>
      <x v="6"/>
    </i>
    <i t="default" r="2">
      <x v="3"/>
    </i>
    <i r="2">
      <x v="6"/>
      <x v="89"/>
      <x v="47"/>
      <x v="150"/>
      <x v="17"/>
    </i>
    <i r="4">
      <x v="48"/>
      <x v="152"/>
      <x v="18"/>
    </i>
    <i t="default" r="2">
      <x v="6"/>
    </i>
    <i t="default">
      <x v="10"/>
    </i>
    <i>
      <x v="12"/>
      <x v="10"/>
      <x/>
      <x v="63"/>
      <x/>
      <x/>
      <x v="11"/>
    </i>
    <i t="default" r="2">
      <x/>
    </i>
    <i t="default">
      <x v="12"/>
    </i>
    <i>
      <x v="16"/>
      <x v="16"/>
      <x v="6"/>
      <x v="14"/>
      <x v="48"/>
      <x v="159"/>
      <x v="21"/>
    </i>
    <i t="default" r="2">
      <x v="6"/>
    </i>
    <i t="default">
      <x v="16"/>
    </i>
    <i>
      <x v="17"/>
      <x v="17"/>
      <x v="6"/>
      <x v="100"/>
      <x v="52"/>
      <x v="176"/>
      <x v="22"/>
    </i>
    <i r="4">
      <x v="68"/>
      <x v="226"/>
      <x v="26"/>
    </i>
    <i t="default" r="2">
      <x v="6"/>
    </i>
    <i t="default">
      <x v="17"/>
    </i>
    <i>
      <x v="19"/>
      <x v="19"/>
      <x v="6"/>
      <x v="14"/>
      <x v="68"/>
      <x v="225"/>
      <x v="25"/>
    </i>
    <i r="3">
      <x v="107"/>
      <x v="61"/>
      <x v="205"/>
      <x v="14"/>
    </i>
    <i t="default" r="2">
      <x v="6"/>
    </i>
    <i t="default">
      <x v="19"/>
    </i>
    <i>
      <x v="20"/>
      <x v="20"/>
      <x v="5"/>
      <x v="74"/>
      <x v="39"/>
      <x v="122"/>
      <x v="15"/>
    </i>
    <i t="default" r="2">
      <x v="5"/>
    </i>
    <i r="2">
      <x v="6"/>
      <x v="14"/>
      <x v="67"/>
      <x v="224"/>
      <x v="24"/>
    </i>
    <i t="default" r="2">
      <x v="6"/>
    </i>
    <i t="default">
      <x v="20"/>
    </i>
    <i t="grand">
      <x/>
    </i>
  </rowItems>
  <colItems count="1">
    <i/>
  </colItems>
  <pageFields count="1">
    <pageField fld="5" item="2" hier="-1"/>
  </pageFields>
  <dataFields count="1">
    <dataField name="Suma de HABER" fld="4" baseField="0" baseItem="0"/>
  </dataFields>
  <formats count="3">
    <format dxfId="16">
      <pivotArea field="0" type="button" dataOnly="0" labelOnly="1" outline="0" axis="axisRow" fieldPosition="5"/>
    </format>
    <format dxfId="15">
      <pivotArea field="1" type="button" dataOnly="0" labelOnly="1" outline="0" axis="axisRow" fieldPosition="4"/>
    </format>
    <format dxfId="14">
      <pivotArea field="3" type="button" dataOnly="0" labelOnly="1" outline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opLeftCell="A13" workbookViewId="0">
      <selection activeCell="I42" sqref="I42"/>
    </sheetView>
  </sheetViews>
  <sheetFormatPr baseColWidth="10" defaultColWidth="11.42578125" defaultRowHeight="15" customHeight="1" x14ac:dyDescent="0.25"/>
  <cols>
    <col min="3" max="3" width="41.5703125" customWidth="1"/>
    <col min="8" max="8" width="26.5703125" customWidth="1"/>
    <col min="9" max="9" width="30.7109375" customWidth="1"/>
    <col min="11" max="11" width="54.7109375" customWidth="1"/>
    <col min="12" max="12" width="18.425781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2">
        <v>0</v>
      </c>
      <c r="B2" s="3" t="s">
        <v>18</v>
      </c>
      <c r="C2" s="4" t="s">
        <v>19</v>
      </c>
      <c r="D2" s="5"/>
      <c r="E2" s="6">
        <v>64080.83</v>
      </c>
      <c r="F2" s="7" t="s">
        <v>20</v>
      </c>
      <c r="G2" s="31" t="s">
        <v>198</v>
      </c>
      <c r="H2" s="32" t="str">
        <f>VLOOKUP(G2,Codigo!$A$2:$B$46,2,FALSE)</f>
        <v>SALDO ANTERIOR</v>
      </c>
      <c r="I2" s="7" t="s">
        <v>21</v>
      </c>
      <c r="J2" s="5"/>
      <c r="K2" s="7" t="s">
        <v>21</v>
      </c>
      <c r="L2" s="7" t="s">
        <v>21</v>
      </c>
      <c r="M2" s="7" t="s">
        <v>21</v>
      </c>
      <c r="N2" s="7" t="s">
        <v>21</v>
      </c>
      <c r="O2" s="7" t="s">
        <v>21</v>
      </c>
      <c r="P2" s="7" t="s">
        <v>21</v>
      </c>
      <c r="Q2" s="7" t="s">
        <v>21</v>
      </c>
      <c r="R2" s="7" t="s">
        <v>21</v>
      </c>
    </row>
    <row r="3" spans="1:18" ht="15" customHeight="1" x14ac:dyDescent="0.25">
      <c r="A3" s="2">
        <v>1</v>
      </c>
      <c r="B3" s="3" t="s">
        <v>22</v>
      </c>
      <c r="C3" s="4" t="s">
        <v>23</v>
      </c>
      <c r="D3" s="6">
        <v>577.16999999999996</v>
      </c>
      <c r="E3" s="6"/>
      <c r="F3" s="7" t="s">
        <v>24</v>
      </c>
      <c r="G3" s="33" t="s">
        <v>25</v>
      </c>
      <c r="H3" s="32" t="str">
        <f>VLOOKUP(G3,Codigo!$A$2:$B$46,2,FALSE)</f>
        <v>Arredamientos</v>
      </c>
      <c r="I3" s="7" t="s">
        <v>26</v>
      </c>
      <c r="J3" s="6"/>
      <c r="K3" s="7" t="s">
        <v>27</v>
      </c>
      <c r="L3" s="7" t="s">
        <v>21</v>
      </c>
      <c r="M3" s="7" t="s">
        <v>21</v>
      </c>
      <c r="N3" s="7" t="s">
        <v>21</v>
      </c>
      <c r="O3" s="7" t="s">
        <v>21</v>
      </c>
      <c r="P3" s="7" t="s">
        <v>21</v>
      </c>
      <c r="Q3" s="7" t="s">
        <v>21</v>
      </c>
      <c r="R3" s="7" t="s">
        <v>21</v>
      </c>
    </row>
    <row r="4" spans="1:18" ht="15" customHeight="1" x14ac:dyDescent="0.25">
      <c r="A4" s="2">
        <v>2</v>
      </c>
      <c r="B4" s="3" t="s">
        <v>28</v>
      </c>
      <c r="C4" s="25" t="s">
        <v>279</v>
      </c>
      <c r="D4" s="6">
        <v>76.540000000000006</v>
      </c>
      <c r="E4" s="5"/>
      <c r="F4" s="7" t="s">
        <v>24</v>
      </c>
      <c r="G4" s="33" t="s">
        <v>29</v>
      </c>
      <c r="H4" s="32" t="str">
        <f>VLOOKUP(G4,Codigo!$A$2:$B$46,2,FALSE)</f>
        <v>Reparacións</v>
      </c>
      <c r="I4" s="7" t="s">
        <v>26</v>
      </c>
      <c r="J4" s="5"/>
      <c r="K4" s="7" t="s">
        <v>30</v>
      </c>
      <c r="L4" s="7" t="s">
        <v>21</v>
      </c>
      <c r="M4" s="7" t="s">
        <v>21</v>
      </c>
      <c r="N4" s="7" t="s">
        <v>21</v>
      </c>
      <c r="O4" s="7" t="s">
        <v>21</v>
      </c>
      <c r="P4" s="7" t="s">
        <v>21</v>
      </c>
      <c r="Q4" s="7" t="s">
        <v>21</v>
      </c>
      <c r="R4" s="7" t="s">
        <v>21</v>
      </c>
    </row>
    <row r="5" spans="1:18" ht="15" customHeight="1" x14ac:dyDescent="0.25">
      <c r="A5" s="2">
        <v>3</v>
      </c>
      <c r="B5" s="3" t="s">
        <v>28</v>
      </c>
      <c r="C5" s="25" t="s">
        <v>230</v>
      </c>
      <c r="D5" s="6">
        <v>126.86</v>
      </c>
      <c r="E5" s="5"/>
      <c r="F5" s="7" t="s">
        <v>24</v>
      </c>
      <c r="G5" s="33" t="s">
        <v>31</v>
      </c>
      <c r="H5" s="32" t="str">
        <f>VLOOKUP(G5,Codigo!$A$2:$B$46,2,FALSE)</f>
        <v>Prima de seguro</v>
      </c>
      <c r="I5" s="7" t="s">
        <v>26</v>
      </c>
      <c r="J5" s="5"/>
      <c r="K5" s="7" t="s">
        <v>27</v>
      </c>
      <c r="L5" s="7" t="s">
        <v>21</v>
      </c>
      <c r="M5" s="7" t="s">
        <v>21</v>
      </c>
      <c r="N5" s="7" t="s">
        <v>21</v>
      </c>
      <c r="O5" s="7" t="s">
        <v>21</v>
      </c>
      <c r="P5" s="7" t="s">
        <v>21</v>
      </c>
      <c r="Q5" s="7" t="s">
        <v>21</v>
      </c>
      <c r="R5" s="7" t="s">
        <v>21</v>
      </c>
    </row>
    <row r="6" spans="1:18" ht="15" customHeight="1" x14ac:dyDescent="0.25">
      <c r="A6" s="2">
        <v>4</v>
      </c>
      <c r="B6" s="3" t="s">
        <v>32</v>
      </c>
      <c r="C6" s="25" t="s">
        <v>279</v>
      </c>
      <c r="D6" s="6">
        <v>76.540000000000006</v>
      </c>
      <c r="E6" s="5"/>
      <c r="F6" s="7" t="s">
        <v>24</v>
      </c>
      <c r="G6" s="33" t="s">
        <v>29</v>
      </c>
      <c r="H6" s="32" t="str">
        <f>VLOOKUP(G6,Codigo!$A$2:$B$46,2,FALSE)</f>
        <v>Reparacións</v>
      </c>
      <c r="I6" s="7" t="s">
        <v>26</v>
      </c>
      <c r="J6" s="5"/>
      <c r="K6" s="7" t="s">
        <v>30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  <c r="Q6" s="7" t="s">
        <v>21</v>
      </c>
      <c r="R6" s="7" t="s">
        <v>21</v>
      </c>
    </row>
    <row r="7" spans="1:18" ht="15" customHeight="1" x14ac:dyDescent="0.25">
      <c r="A7" s="2">
        <v>5</v>
      </c>
      <c r="B7" s="3" t="s">
        <v>33</v>
      </c>
      <c r="C7" s="4" t="s">
        <v>34</v>
      </c>
      <c r="D7" s="6">
        <v>120</v>
      </c>
      <c r="E7" s="5"/>
      <c r="F7" s="7" t="s">
        <v>24</v>
      </c>
      <c r="G7" s="33" t="s">
        <v>35</v>
      </c>
      <c r="H7" s="32" t="str">
        <f>VLOOKUP(G7,Codigo!$A$2:$B$46,2,FALSE)</f>
        <v>Gastos diversos</v>
      </c>
      <c r="I7" s="7" t="s">
        <v>26</v>
      </c>
      <c r="J7" s="5"/>
      <c r="K7" s="7" t="s">
        <v>36</v>
      </c>
      <c r="L7" s="7" t="s">
        <v>37</v>
      </c>
      <c r="M7" s="7" t="s">
        <v>21</v>
      </c>
      <c r="N7" s="7" t="s">
        <v>21</v>
      </c>
      <c r="O7" s="7" t="s">
        <v>21</v>
      </c>
      <c r="P7" s="7" t="s">
        <v>21</v>
      </c>
      <c r="Q7" s="7" t="s">
        <v>21</v>
      </c>
      <c r="R7" s="7" t="s">
        <v>21</v>
      </c>
    </row>
    <row r="8" spans="1:18" ht="15" customHeight="1" x14ac:dyDescent="0.25">
      <c r="A8" s="2">
        <v>6</v>
      </c>
      <c r="B8" s="3" t="s">
        <v>33</v>
      </c>
      <c r="C8" s="4" t="s">
        <v>34</v>
      </c>
      <c r="D8" s="6">
        <v>150</v>
      </c>
      <c r="E8" s="5"/>
      <c r="F8" s="7" t="s">
        <v>24</v>
      </c>
      <c r="G8" s="33" t="s">
        <v>35</v>
      </c>
      <c r="H8" s="32" t="str">
        <f>VLOOKUP(G8,Codigo!$A$2:$B$46,2,FALSE)</f>
        <v>Gastos diversos</v>
      </c>
      <c r="I8" s="7" t="s">
        <v>26</v>
      </c>
      <c r="J8" s="5"/>
      <c r="K8" s="7" t="s">
        <v>36</v>
      </c>
      <c r="L8" s="7" t="s">
        <v>38</v>
      </c>
      <c r="M8" s="7" t="s">
        <v>21</v>
      </c>
      <c r="N8" s="7" t="s">
        <v>21</v>
      </c>
      <c r="O8" s="7" t="s">
        <v>21</v>
      </c>
      <c r="P8" s="7" t="s">
        <v>21</v>
      </c>
      <c r="Q8" s="7" t="s">
        <v>21</v>
      </c>
      <c r="R8" s="7" t="s">
        <v>21</v>
      </c>
    </row>
    <row r="9" spans="1:18" ht="15" customHeight="1" x14ac:dyDescent="0.25">
      <c r="A9" s="2">
        <v>7</v>
      </c>
      <c r="B9" s="3" t="s">
        <v>33</v>
      </c>
      <c r="C9" s="4" t="s">
        <v>39</v>
      </c>
      <c r="D9" s="6">
        <v>11.28</v>
      </c>
      <c r="E9" s="5"/>
      <c r="F9" s="7" t="s">
        <v>24</v>
      </c>
      <c r="G9" s="33" t="s">
        <v>43</v>
      </c>
      <c r="H9" s="32" t="str">
        <f>VLOOKUP(G9,Codigo!$A$2:$B$46,2,FALSE)</f>
        <v>Outras Subministracións</v>
      </c>
      <c r="I9" s="7" t="s">
        <v>26</v>
      </c>
      <c r="J9" s="5"/>
      <c r="K9" s="7" t="s">
        <v>40</v>
      </c>
      <c r="L9" s="7" t="s">
        <v>21</v>
      </c>
      <c r="M9" s="7" t="s">
        <v>21</v>
      </c>
      <c r="N9" s="7" t="s">
        <v>21</v>
      </c>
      <c r="O9" s="7" t="s">
        <v>21</v>
      </c>
      <c r="P9" s="7" t="s">
        <v>21</v>
      </c>
      <c r="Q9" s="7" t="s">
        <v>21</v>
      </c>
      <c r="R9" s="7" t="s">
        <v>21</v>
      </c>
    </row>
    <row r="10" spans="1:18" ht="15" customHeight="1" x14ac:dyDescent="0.25">
      <c r="A10" s="2">
        <v>8</v>
      </c>
      <c r="B10" s="3" t="s">
        <v>41</v>
      </c>
      <c r="C10" s="4" t="s">
        <v>42</v>
      </c>
      <c r="D10" s="6">
        <v>10.98</v>
      </c>
      <c r="E10" s="5"/>
      <c r="F10" s="7" t="s">
        <v>24</v>
      </c>
      <c r="G10" s="33" t="s">
        <v>43</v>
      </c>
      <c r="H10" s="32" t="str">
        <f>VLOOKUP(G10,Codigo!$A$2:$B$46,2,FALSE)</f>
        <v>Outras Subministracións</v>
      </c>
      <c r="I10" s="7" t="s">
        <v>26</v>
      </c>
      <c r="J10" s="5"/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7" t="s">
        <v>21</v>
      </c>
      <c r="Q10" s="7" t="s">
        <v>21</v>
      </c>
      <c r="R10" s="7" t="s">
        <v>21</v>
      </c>
    </row>
    <row r="11" spans="1:18" ht="15" customHeight="1" x14ac:dyDescent="0.25">
      <c r="A11" s="2">
        <v>9</v>
      </c>
      <c r="B11" s="3" t="s">
        <v>41</v>
      </c>
      <c r="C11" s="4" t="s">
        <v>42</v>
      </c>
      <c r="D11" s="6">
        <v>6.35</v>
      </c>
      <c r="E11" s="5"/>
      <c r="F11" s="7" t="s">
        <v>24</v>
      </c>
      <c r="G11" s="33" t="s">
        <v>43</v>
      </c>
      <c r="H11" s="32" t="str">
        <f>VLOOKUP(G11,Codigo!$A$2:$B$46,2,FALSE)</f>
        <v>Outras Subministracións</v>
      </c>
      <c r="I11" s="7" t="s">
        <v>26</v>
      </c>
      <c r="J11" s="5"/>
      <c r="K11" s="7" t="s">
        <v>21</v>
      </c>
      <c r="L11" s="7" t="s">
        <v>21</v>
      </c>
      <c r="M11" s="7" t="s">
        <v>21</v>
      </c>
      <c r="N11" s="7" t="s">
        <v>21</v>
      </c>
      <c r="O11" s="7" t="s">
        <v>21</v>
      </c>
      <c r="P11" s="7" t="s">
        <v>21</v>
      </c>
      <c r="Q11" s="7" t="s">
        <v>21</v>
      </c>
      <c r="R11" s="7" t="s">
        <v>21</v>
      </c>
    </row>
    <row r="12" spans="1:18" ht="15" customHeight="1" x14ac:dyDescent="0.25">
      <c r="A12" s="2">
        <v>10</v>
      </c>
      <c r="B12" s="3" t="s">
        <v>41</v>
      </c>
      <c r="C12" s="4" t="s">
        <v>42</v>
      </c>
      <c r="D12" s="6">
        <v>6</v>
      </c>
      <c r="E12" s="5"/>
      <c r="F12" s="7" t="s">
        <v>24</v>
      </c>
      <c r="G12" s="33" t="s">
        <v>43</v>
      </c>
      <c r="H12" s="32" t="str">
        <f>VLOOKUP(G12,Codigo!$A$2:$B$46,2,FALSE)</f>
        <v>Outras Subministracións</v>
      </c>
      <c r="I12" s="7" t="s">
        <v>26</v>
      </c>
      <c r="J12" s="5"/>
      <c r="K12" s="7" t="s">
        <v>21</v>
      </c>
      <c r="L12" s="7" t="s">
        <v>21</v>
      </c>
      <c r="M12" s="7" t="s">
        <v>21</v>
      </c>
      <c r="N12" s="7" t="s">
        <v>21</v>
      </c>
      <c r="O12" s="7" t="s">
        <v>21</v>
      </c>
      <c r="P12" s="7" t="s">
        <v>21</v>
      </c>
      <c r="Q12" s="7" t="s">
        <v>21</v>
      </c>
      <c r="R12" s="7" t="s">
        <v>21</v>
      </c>
    </row>
    <row r="13" spans="1:18" ht="15" customHeight="1" x14ac:dyDescent="0.25">
      <c r="A13" s="2">
        <v>11</v>
      </c>
      <c r="B13" s="3" t="s">
        <v>41</v>
      </c>
      <c r="C13" s="4" t="s">
        <v>44</v>
      </c>
      <c r="D13" s="6">
        <v>13.59</v>
      </c>
      <c r="E13" s="5"/>
      <c r="F13" s="7" t="s">
        <v>24</v>
      </c>
      <c r="G13" s="33" t="s">
        <v>45</v>
      </c>
      <c r="H13" s="32" t="str">
        <f>VLOOKUP(G13,Codigo!$A$2:$B$46,2,FALSE)</f>
        <v>Material de oficina</v>
      </c>
      <c r="I13" s="7" t="s">
        <v>26</v>
      </c>
      <c r="J13" s="5"/>
      <c r="K13" s="7" t="s">
        <v>21</v>
      </c>
      <c r="L13" s="7" t="s">
        <v>21</v>
      </c>
      <c r="M13" s="7" t="s">
        <v>21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21</v>
      </c>
    </row>
    <row r="14" spans="1:18" x14ac:dyDescent="0.25">
      <c r="A14" s="2">
        <v>12</v>
      </c>
      <c r="B14" s="3" t="s">
        <v>41</v>
      </c>
      <c r="C14" s="4" t="s">
        <v>44</v>
      </c>
      <c r="D14" s="6">
        <v>10.9</v>
      </c>
      <c r="E14" s="5"/>
      <c r="F14" s="7" t="s">
        <v>24</v>
      </c>
      <c r="G14" s="33" t="s">
        <v>45</v>
      </c>
      <c r="H14" s="32" t="str">
        <f>VLOOKUP(G14,Codigo!$A$2:$B$46,2,FALSE)</f>
        <v>Material de oficina</v>
      </c>
      <c r="I14" s="7" t="s">
        <v>26</v>
      </c>
      <c r="J14" s="5"/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</row>
    <row r="15" spans="1:18" x14ac:dyDescent="0.25">
      <c r="A15" s="2">
        <v>13</v>
      </c>
      <c r="B15" s="3" t="s">
        <v>41</v>
      </c>
      <c r="C15" s="4" t="s">
        <v>46</v>
      </c>
      <c r="D15" s="6">
        <v>171.24</v>
      </c>
      <c r="E15" s="5"/>
      <c r="F15" s="7" t="s">
        <v>24</v>
      </c>
      <c r="G15" s="33" t="s">
        <v>35</v>
      </c>
      <c r="H15" s="32" t="str">
        <f>VLOOKUP(G15,Codigo!$A$2:$B$46,2,FALSE)</f>
        <v>Gastos diversos</v>
      </c>
      <c r="I15" s="7" t="s">
        <v>26</v>
      </c>
      <c r="J15" s="5"/>
      <c r="K15" s="7" t="s">
        <v>21</v>
      </c>
      <c r="L15" s="7" t="s">
        <v>21</v>
      </c>
      <c r="M15" s="7" t="s">
        <v>21</v>
      </c>
      <c r="N15" s="7" t="s">
        <v>21</v>
      </c>
      <c r="O15" s="7" t="s">
        <v>21</v>
      </c>
      <c r="P15" s="7" t="s">
        <v>21</v>
      </c>
      <c r="Q15" s="7" t="s">
        <v>21</v>
      </c>
      <c r="R15" s="7" t="s">
        <v>21</v>
      </c>
    </row>
    <row r="16" spans="1:18" x14ac:dyDescent="0.25">
      <c r="A16" s="2">
        <v>14</v>
      </c>
      <c r="B16" s="3" t="s">
        <v>41</v>
      </c>
      <c r="C16" s="4" t="s">
        <v>47</v>
      </c>
      <c r="D16" s="6">
        <v>375.44</v>
      </c>
      <c r="E16" s="5"/>
      <c r="F16" s="7" t="s">
        <v>24</v>
      </c>
      <c r="G16" s="33" t="s">
        <v>43</v>
      </c>
      <c r="H16" s="32" t="str">
        <f>VLOOKUP(G16,Codigo!$A$2:$B$46,2,FALSE)</f>
        <v>Outras Subministracións</v>
      </c>
      <c r="I16" s="7" t="s">
        <v>26</v>
      </c>
      <c r="J16" s="5"/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  <c r="Q16" s="7" t="s">
        <v>21</v>
      </c>
      <c r="R16" s="7" t="s">
        <v>21</v>
      </c>
    </row>
    <row r="17" spans="1:18" x14ac:dyDescent="0.25">
      <c r="A17" s="2">
        <v>15</v>
      </c>
      <c r="B17" s="3" t="s">
        <v>41</v>
      </c>
      <c r="C17" s="4" t="s">
        <v>48</v>
      </c>
      <c r="D17" s="6">
        <v>21.33</v>
      </c>
      <c r="E17" s="5"/>
      <c r="F17" s="7" t="s">
        <v>24</v>
      </c>
      <c r="G17" s="33" t="s">
        <v>43</v>
      </c>
      <c r="H17" s="32" t="str">
        <f>VLOOKUP(G17,Codigo!$A$2:$B$46,2,FALSE)</f>
        <v>Outras Subministracións</v>
      </c>
      <c r="I17" s="7" t="s">
        <v>26</v>
      </c>
      <c r="J17" s="5"/>
      <c r="K17" s="7" t="s">
        <v>49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21</v>
      </c>
      <c r="Q17" s="7" t="s">
        <v>21</v>
      </c>
      <c r="R17" s="7" t="s">
        <v>21</v>
      </c>
    </row>
    <row r="18" spans="1:18" x14ac:dyDescent="0.25">
      <c r="A18" s="2">
        <v>16</v>
      </c>
      <c r="B18" s="3" t="s">
        <v>41</v>
      </c>
      <c r="C18" s="4" t="s">
        <v>50</v>
      </c>
      <c r="D18" s="6">
        <v>67.97</v>
      </c>
      <c r="E18" s="5"/>
      <c r="F18" s="7" t="s">
        <v>24</v>
      </c>
      <c r="G18" s="33" t="s">
        <v>43</v>
      </c>
      <c r="H18" s="32" t="str">
        <f>VLOOKUP(G18,Codigo!$A$2:$B$46,2,FALSE)</f>
        <v>Outras Subministracións</v>
      </c>
      <c r="I18" s="7" t="s">
        <v>51</v>
      </c>
      <c r="J18" s="5"/>
      <c r="K18" s="7" t="s">
        <v>49</v>
      </c>
      <c r="L18" s="7" t="s">
        <v>21</v>
      </c>
      <c r="M18" s="7" t="s">
        <v>21</v>
      </c>
      <c r="N18" s="7" t="s">
        <v>21</v>
      </c>
      <c r="O18" s="7" t="s">
        <v>21</v>
      </c>
      <c r="P18" s="7" t="s">
        <v>21</v>
      </c>
      <c r="Q18" s="7" t="s">
        <v>21</v>
      </c>
      <c r="R18" s="7" t="s">
        <v>21</v>
      </c>
    </row>
    <row r="19" spans="1:18" x14ac:dyDescent="0.25">
      <c r="A19" s="2">
        <v>17</v>
      </c>
      <c r="B19" s="3" t="s">
        <v>52</v>
      </c>
      <c r="C19" s="4" t="s">
        <v>53</v>
      </c>
      <c r="D19" s="6">
        <v>38.58</v>
      </c>
      <c r="E19" s="5"/>
      <c r="F19" s="7" t="s">
        <v>24</v>
      </c>
      <c r="G19" s="33" t="s">
        <v>54</v>
      </c>
      <c r="H19" s="32" t="str">
        <f>VLOOKUP(G19,Codigo!$A$2:$B$46,2,FALSE)</f>
        <v>Axudas de custo e locomoción</v>
      </c>
      <c r="I19" s="7" t="s">
        <v>26</v>
      </c>
      <c r="J19" s="5"/>
      <c r="K19" s="7" t="s">
        <v>21</v>
      </c>
      <c r="L19" s="7" t="s">
        <v>21</v>
      </c>
      <c r="M19" s="7" t="s">
        <v>21</v>
      </c>
      <c r="N19" s="7" t="s">
        <v>21</v>
      </c>
      <c r="O19" s="7" t="s">
        <v>21</v>
      </c>
      <c r="P19" s="7" t="s">
        <v>21</v>
      </c>
      <c r="Q19" s="7" t="s">
        <v>21</v>
      </c>
      <c r="R19" s="7" t="s">
        <v>21</v>
      </c>
    </row>
    <row r="20" spans="1:18" x14ac:dyDescent="0.25">
      <c r="A20" s="2">
        <v>18</v>
      </c>
      <c r="B20" s="3" t="s">
        <v>52</v>
      </c>
      <c r="C20" s="4" t="s">
        <v>55</v>
      </c>
      <c r="D20" s="6">
        <v>38.58</v>
      </c>
      <c r="E20" s="5"/>
      <c r="F20" s="7" t="s">
        <v>24</v>
      </c>
      <c r="G20" s="33" t="s">
        <v>54</v>
      </c>
      <c r="H20" s="32" t="str">
        <f>VLOOKUP(G20,Codigo!$A$2:$B$46,2,FALSE)</f>
        <v>Axudas de custo e locomoción</v>
      </c>
      <c r="I20" s="7" t="s">
        <v>26</v>
      </c>
      <c r="J20" s="5"/>
      <c r="K20" s="7" t="s">
        <v>21</v>
      </c>
      <c r="L20" s="7" t="s">
        <v>21</v>
      </c>
      <c r="M20" s="7" t="s">
        <v>21</v>
      </c>
      <c r="N20" s="7" t="s">
        <v>21</v>
      </c>
      <c r="O20" s="7" t="s">
        <v>21</v>
      </c>
      <c r="P20" s="7" t="s">
        <v>21</v>
      </c>
      <c r="Q20" s="7" t="s">
        <v>21</v>
      </c>
      <c r="R20" s="7" t="s">
        <v>21</v>
      </c>
    </row>
    <row r="21" spans="1:18" x14ac:dyDescent="0.25">
      <c r="A21" s="2">
        <v>19</v>
      </c>
      <c r="B21" s="3" t="s">
        <v>52</v>
      </c>
      <c r="C21" s="4" t="s">
        <v>56</v>
      </c>
      <c r="D21" s="6">
        <v>38.58</v>
      </c>
      <c r="E21" s="5"/>
      <c r="F21" s="7" t="s">
        <v>24</v>
      </c>
      <c r="G21" s="33" t="s">
        <v>54</v>
      </c>
      <c r="H21" s="32" t="str">
        <f>VLOOKUP(G21,Codigo!$A$2:$B$46,2,FALSE)</f>
        <v>Axudas de custo e locomoción</v>
      </c>
      <c r="I21" s="7" t="s">
        <v>26</v>
      </c>
      <c r="J21" s="5"/>
      <c r="K21" s="7" t="s">
        <v>21</v>
      </c>
      <c r="L21" s="7" t="s">
        <v>21</v>
      </c>
      <c r="M21" s="7" t="s">
        <v>21</v>
      </c>
      <c r="N21" s="7" t="s">
        <v>21</v>
      </c>
      <c r="O21" s="7" t="s">
        <v>21</v>
      </c>
      <c r="P21" s="7" t="s">
        <v>21</v>
      </c>
      <c r="Q21" s="7" t="s">
        <v>21</v>
      </c>
      <c r="R21" s="7" t="s">
        <v>21</v>
      </c>
    </row>
    <row r="22" spans="1:18" x14ac:dyDescent="0.25">
      <c r="A22" s="2">
        <v>20</v>
      </c>
      <c r="B22" s="3" t="s">
        <v>52</v>
      </c>
      <c r="C22" s="4" t="s">
        <v>57</v>
      </c>
      <c r="D22" s="6">
        <v>38.58</v>
      </c>
      <c r="E22" s="5"/>
      <c r="F22" s="7" t="s">
        <v>24</v>
      </c>
      <c r="G22" s="33" t="s">
        <v>54</v>
      </c>
      <c r="H22" s="32" t="str">
        <f>VLOOKUP(G22,Codigo!$A$2:$B$46,2,FALSE)</f>
        <v>Axudas de custo e locomoción</v>
      </c>
      <c r="I22" s="7" t="s">
        <v>26</v>
      </c>
      <c r="J22" s="5"/>
      <c r="K22" s="7" t="s">
        <v>21</v>
      </c>
      <c r="L22" s="7" t="s">
        <v>21</v>
      </c>
      <c r="M22" s="7" t="s">
        <v>21</v>
      </c>
      <c r="N22" s="7" t="s">
        <v>21</v>
      </c>
      <c r="O22" s="7" t="s">
        <v>21</v>
      </c>
      <c r="P22" s="7" t="s">
        <v>21</v>
      </c>
      <c r="Q22" s="7" t="s">
        <v>21</v>
      </c>
      <c r="R22" s="7" t="s">
        <v>21</v>
      </c>
    </row>
    <row r="23" spans="1:18" x14ac:dyDescent="0.25">
      <c r="A23" s="2">
        <v>21</v>
      </c>
      <c r="B23" s="3" t="s">
        <v>58</v>
      </c>
      <c r="C23" s="4" t="s">
        <v>59</v>
      </c>
      <c r="D23" s="5"/>
      <c r="E23" s="6">
        <v>123</v>
      </c>
      <c r="F23" s="7" t="s">
        <v>20</v>
      </c>
      <c r="G23" s="33" t="s">
        <v>60</v>
      </c>
      <c r="H23" s="32" t="str">
        <f>VLOOKUP(G23,Codigo!$A$2:$B$46,2,FALSE)</f>
        <v>Dotacións legados e subvencións</v>
      </c>
      <c r="I23" s="7" t="s">
        <v>26</v>
      </c>
      <c r="J23" s="5"/>
      <c r="K23" s="7" t="s">
        <v>21</v>
      </c>
      <c r="L23" s="7" t="s">
        <v>21</v>
      </c>
      <c r="M23" s="7" t="s">
        <v>21</v>
      </c>
      <c r="N23" s="7" t="s">
        <v>21</v>
      </c>
      <c r="O23" s="7" t="s">
        <v>21</v>
      </c>
      <c r="P23" s="7" t="s">
        <v>21</v>
      </c>
      <c r="Q23" s="7" t="s">
        <v>21</v>
      </c>
      <c r="R23" s="7" t="s">
        <v>21</v>
      </c>
    </row>
    <row r="24" spans="1:18" x14ac:dyDescent="0.25">
      <c r="A24" s="2">
        <v>22</v>
      </c>
      <c r="B24" s="3" t="s">
        <v>61</v>
      </c>
      <c r="C24" s="25" t="s">
        <v>279</v>
      </c>
      <c r="D24" s="6">
        <v>76.540000000000006</v>
      </c>
      <c r="E24" s="5"/>
      <c r="F24" s="7" t="s">
        <v>24</v>
      </c>
      <c r="G24" s="33" t="s">
        <v>29</v>
      </c>
      <c r="H24" s="32" t="str">
        <f>VLOOKUP(G24,Codigo!$A$2:$B$46,2,FALSE)</f>
        <v>Reparacións</v>
      </c>
      <c r="I24" s="7" t="s">
        <v>26</v>
      </c>
      <c r="J24" s="5"/>
      <c r="K24" s="7" t="s">
        <v>21</v>
      </c>
      <c r="L24" s="7" t="s">
        <v>21</v>
      </c>
      <c r="M24" s="7" t="s">
        <v>21</v>
      </c>
      <c r="N24" s="7" t="s">
        <v>21</v>
      </c>
      <c r="O24" s="7" t="s">
        <v>21</v>
      </c>
      <c r="P24" s="7" t="s">
        <v>21</v>
      </c>
      <c r="Q24" s="7" t="s">
        <v>21</v>
      </c>
      <c r="R24" s="7" t="s">
        <v>21</v>
      </c>
    </row>
    <row r="25" spans="1:18" x14ac:dyDescent="0.25">
      <c r="A25" s="2">
        <v>23</v>
      </c>
      <c r="B25" s="3" t="s">
        <v>61</v>
      </c>
      <c r="C25" s="4" t="s">
        <v>62</v>
      </c>
      <c r="D25" s="6">
        <v>22.88</v>
      </c>
      <c r="E25" s="5"/>
      <c r="F25" s="7" t="s">
        <v>24</v>
      </c>
      <c r="G25" s="33" t="s">
        <v>54</v>
      </c>
      <c r="H25" s="32" t="str">
        <f>VLOOKUP(G25,Codigo!$A$2:$B$46,2,FALSE)</f>
        <v>Axudas de custo e locomoción</v>
      </c>
      <c r="I25" s="7" t="s">
        <v>26</v>
      </c>
      <c r="J25" s="5"/>
      <c r="K25" s="7" t="s">
        <v>21</v>
      </c>
      <c r="L25" s="7" t="s">
        <v>21</v>
      </c>
      <c r="M25" s="7" t="s">
        <v>21</v>
      </c>
      <c r="N25" s="7" t="s">
        <v>21</v>
      </c>
      <c r="O25" s="7" t="s">
        <v>21</v>
      </c>
      <c r="P25" s="7" t="s">
        <v>21</v>
      </c>
      <c r="Q25" s="7" t="s">
        <v>21</v>
      </c>
      <c r="R25" s="7" t="s">
        <v>21</v>
      </c>
    </row>
    <row r="26" spans="1:18" x14ac:dyDescent="0.25">
      <c r="A26" s="2">
        <v>24</v>
      </c>
      <c r="B26" s="3" t="s">
        <v>61</v>
      </c>
      <c r="C26" s="4" t="s">
        <v>63</v>
      </c>
      <c r="D26" s="6">
        <v>22.88</v>
      </c>
      <c r="E26" s="5"/>
      <c r="F26" s="7" t="s">
        <v>24</v>
      </c>
      <c r="G26" s="33" t="s">
        <v>54</v>
      </c>
      <c r="H26" s="32" t="str">
        <f>VLOOKUP(G26,Codigo!$A$2:$B$46,2,FALSE)</f>
        <v>Axudas de custo e locomoción</v>
      </c>
      <c r="I26" s="7" t="s">
        <v>26</v>
      </c>
      <c r="J26" s="5"/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</row>
    <row r="27" spans="1:18" x14ac:dyDescent="0.25">
      <c r="A27" s="2">
        <v>25</v>
      </c>
      <c r="B27" s="3" t="s">
        <v>61</v>
      </c>
      <c r="C27" s="4" t="s">
        <v>64</v>
      </c>
      <c r="D27" s="6">
        <v>22.88</v>
      </c>
      <c r="E27" s="5"/>
      <c r="F27" s="7" t="s">
        <v>24</v>
      </c>
      <c r="G27" s="33" t="s">
        <v>54</v>
      </c>
      <c r="H27" s="32" t="str">
        <f>VLOOKUP(G27,Codigo!$A$2:$B$46,2,FALSE)</f>
        <v>Axudas de custo e locomoción</v>
      </c>
      <c r="I27" s="7" t="s">
        <v>26</v>
      </c>
      <c r="J27" s="5"/>
      <c r="K27" s="7" t="s">
        <v>21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</row>
    <row r="28" spans="1:18" x14ac:dyDescent="0.25">
      <c r="A28" s="2">
        <v>26</v>
      </c>
      <c r="B28" s="3" t="s">
        <v>61</v>
      </c>
      <c r="C28" s="4" t="s">
        <v>65</v>
      </c>
      <c r="D28" s="6">
        <v>22.88</v>
      </c>
      <c r="E28" s="5"/>
      <c r="F28" s="7" t="s">
        <v>24</v>
      </c>
      <c r="G28" s="33" t="s">
        <v>54</v>
      </c>
      <c r="H28" s="32" t="str">
        <f>VLOOKUP(G28,Codigo!$A$2:$B$46,2,FALSE)</f>
        <v>Axudas de custo e locomoción</v>
      </c>
      <c r="I28" s="7" t="s">
        <v>26</v>
      </c>
      <c r="J28" s="5"/>
      <c r="K28" s="7" t="s">
        <v>21</v>
      </c>
      <c r="L28" s="7" t="s">
        <v>21</v>
      </c>
      <c r="M28" s="7" t="s">
        <v>21</v>
      </c>
      <c r="N28" s="7" t="s">
        <v>21</v>
      </c>
      <c r="O28" s="7" t="s">
        <v>21</v>
      </c>
      <c r="P28" s="7" t="s">
        <v>21</v>
      </c>
      <c r="Q28" s="7" t="s">
        <v>21</v>
      </c>
      <c r="R28" s="7" t="s">
        <v>21</v>
      </c>
    </row>
    <row r="29" spans="1:18" x14ac:dyDescent="0.25">
      <c r="A29" s="2">
        <v>27</v>
      </c>
      <c r="B29" s="3" t="s">
        <v>61</v>
      </c>
      <c r="C29" s="4" t="s">
        <v>59</v>
      </c>
      <c r="D29" s="6">
        <v>123</v>
      </c>
      <c r="E29" s="5"/>
      <c r="F29" s="7" t="s">
        <v>24</v>
      </c>
      <c r="G29" s="33" t="s">
        <v>35</v>
      </c>
      <c r="H29" s="32" t="str">
        <f>VLOOKUP(G29,Codigo!$A$2:$B$46,2,FALSE)</f>
        <v>Gastos diversos</v>
      </c>
      <c r="I29" s="7" t="s">
        <v>26</v>
      </c>
      <c r="J29" s="5"/>
      <c r="K29" s="7" t="s">
        <v>21</v>
      </c>
      <c r="L29" s="7" t="s">
        <v>21</v>
      </c>
      <c r="M29" s="7" t="s">
        <v>21</v>
      </c>
      <c r="N29" s="7" t="s">
        <v>21</v>
      </c>
      <c r="O29" s="7" t="s">
        <v>21</v>
      </c>
      <c r="P29" s="7" t="s">
        <v>21</v>
      </c>
      <c r="Q29" s="7" t="s">
        <v>21</v>
      </c>
      <c r="R29" s="7" t="s">
        <v>21</v>
      </c>
    </row>
    <row r="30" spans="1:18" x14ac:dyDescent="0.25">
      <c r="A30" s="2">
        <v>28</v>
      </c>
      <c r="B30" s="3" t="s">
        <v>66</v>
      </c>
      <c r="C30" s="4" t="s">
        <v>44</v>
      </c>
      <c r="D30" s="6">
        <v>28.89</v>
      </c>
      <c r="E30" s="5"/>
      <c r="F30" s="7" t="s">
        <v>24</v>
      </c>
      <c r="G30" s="33" t="s">
        <v>43</v>
      </c>
      <c r="H30" s="32" t="str">
        <f>VLOOKUP(G30,Codigo!$A$2:$B$46,2,FALSE)</f>
        <v>Outras Subministracións</v>
      </c>
      <c r="I30" s="7" t="s">
        <v>26</v>
      </c>
      <c r="J30" s="5"/>
      <c r="K30" s="7" t="s">
        <v>21</v>
      </c>
      <c r="L30" s="7" t="s">
        <v>21</v>
      </c>
      <c r="M30" s="7" t="s">
        <v>21</v>
      </c>
      <c r="N30" s="7" t="s">
        <v>21</v>
      </c>
      <c r="O30" s="7" t="s">
        <v>21</v>
      </c>
      <c r="P30" s="7" t="s">
        <v>21</v>
      </c>
      <c r="Q30" s="7" t="s">
        <v>21</v>
      </c>
      <c r="R30" s="7" t="s">
        <v>21</v>
      </c>
    </row>
    <row r="31" spans="1:18" x14ac:dyDescent="0.25">
      <c r="A31" s="2">
        <v>29</v>
      </c>
      <c r="B31" s="3" t="s">
        <v>66</v>
      </c>
      <c r="C31" s="4" t="s">
        <v>67</v>
      </c>
      <c r="D31" s="6">
        <v>2866.26</v>
      </c>
      <c r="E31" s="5"/>
      <c r="F31" s="7" t="s">
        <v>24</v>
      </c>
      <c r="G31" s="33" t="s">
        <v>68</v>
      </c>
      <c r="H31" s="32" t="str">
        <f>VLOOKUP(G31,Codigo!$A$2:$B$46,2,FALSE)</f>
        <v>Gasoleo</v>
      </c>
      <c r="I31" s="7" t="s">
        <v>26</v>
      </c>
      <c r="J31" s="5"/>
      <c r="K31" s="7" t="s">
        <v>21</v>
      </c>
      <c r="L31" s="7" t="s">
        <v>21</v>
      </c>
      <c r="M31" s="7" t="s">
        <v>21</v>
      </c>
      <c r="N31" s="7" t="s">
        <v>21</v>
      </c>
      <c r="O31" s="7" t="s">
        <v>21</v>
      </c>
      <c r="P31" s="7" t="s">
        <v>21</v>
      </c>
      <c r="Q31" s="7" t="s">
        <v>21</v>
      </c>
      <c r="R31" s="7" t="s">
        <v>21</v>
      </c>
    </row>
    <row r="32" spans="1:18" x14ac:dyDescent="0.25">
      <c r="A32" s="2">
        <v>30</v>
      </c>
      <c r="B32" s="3" t="s">
        <v>66</v>
      </c>
      <c r="C32" s="4" t="s">
        <v>34</v>
      </c>
      <c r="D32" s="6">
        <v>90</v>
      </c>
      <c r="E32" s="5"/>
      <c r="F32" s="7" t="s">
        <v>24</v>
      </c>
      <c r="G32" s="33" t="s">
        <v>35</v>
      </c>
      <c r="H32" s="32" t="str">
        <f>VLOOKUP(G32,Codigo!$A$2:$B$46,2,FALSE)</f>
        <v>Gastos diversos</v>
      </c>
      <c r="I32" s="7" t="s">
        <v>26</v>
      </c>
      <c r="J32" s="5"/>
      <c r="K32" s="7" t="s">
        <v>36</v>
      </c>
      <c r="L32" s="7" t="s">
        <v>37</v>
      </c>
      <c r="M32" s="7" t="s">
        <v>21</v>
      </c>
      <c r="N32" s="7" t="s">
        <v>21</v>
      </c>
      <c r="O32" s="7" t="s">
        <v>21</v>
      </c>
      <c r="P32" s="7" t="s">
        <v>21</v>
      </c>
      <c r="Q32" s="7" t="s">
        <v>21</v>
      </c>
      <c r="R32" s="7" t="s">
        <v>21</v>
      </c>
    </row>
    <row r="33" spans="1:18" x14ac:dyDescent="0.25">
      <c r="A33" s="2">
        <v>31</v>
      </c>
      <c r="B33" s="3" t="s">
        <v>66</v>
      </c>
      <c r="C33" s="4" t="s">
        <v>34</v>
      </c>
      <c r="D33" s="6">
        <v>90</v>
      </c>
      <c r="E33" s="5"/>
      <c r="F33" s="7" t="s">
        <v>24</v>
      </c>
      <c r="G33" s="33" t="s">
        <v>35</v>
      </c>
      <c r="H33" s="32" t="str">
        <f>VLOOKUP(G33,Codigo!$A$2:$B$46,2,FALSE)</f>
        <v>Gastos diversos</v>
      </c>
      <c r="I33" s="7" t="s">
        <v>26</v>
      </c>
      <c r="J33" s="5"/>
      <c r="K33" s="7" t="s">
        <v>36</v>
      </c>
      <c r="L33" s="7" t="s">
        <v>38</v>
      </c>
      <c r="M33" s="7" t="s">
        <v>21</v>
      </c>
      <c r="N33" s="7" t="s">
        <v>21</v>
      </c>
      <c r="O33" s="7" t="s">
        <v>21</v>
      </c>
      <c r="P33" s="7" t="s">
        <v>21</v>
      </c>
      <c r="Q33" s="7" t="s">
        <v>21</v>
      </c>
      <c r="R33" s="7" t="s">
        <v>21</v>
      </c>
    </row>
    <row r="34" spans="1:18" x14ac:dyDescent="0.25">
      <c r="A34" s="2">
        <v>32</v>
      </c>
      <c r="B34" s="3" t="s">
        <v>69</v>
      </c>
      <c r="C34" s="4" t="s">
        <v>70</v>
      </c>
      <c r="D34" s="6">
        <v>60</v>
      </c>
      <c r="E34" s="6"/>
      <c r="F34" s="7" t="s">
        <v>24</v>
      </c>
      <c r="G34" s="33" t="s">
        <v>43</v>
      </c>
      <c r="H34" s="32" t="str">
        <f>VLOOKUP(G34,Codigo!$A$2:$B$46,2,FALSE)</f>
        <v>Outras Subministracións</v>
      </c>
      <c r="I34" s="7" t="s">
        <v>26</v>
      </c>
      <c r="J34" s="5"/>
      <c r="K34" s="7" t="s">
        <v>49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</row>
    <row r="35" spans="1:18" ht="30" x14ac:dyDescent="0.25">
      <c r="A35" s="2">
        <v>33</v>
      </c>
      <c r="B35" s="3" t="s">
        <v>69</v>
      </c>
      <c r="C35" s="4" t="s">
        <v>71</v>
      </c>
      <c r="D35" s="6">
        <v>82</v>
      </c>
      <c r="E35" s="5"/>
      <c r="F35" s="7" t="s">
        <v>24</v>
      </c>
      <c r="G35" s="33" t="s">
        <v>54</v>
      </c>
      <c r="H35" s="32" t="str">
        <f>VLOOKUP(G35,Codigo!$A$2:$B$46,2,FALSE)</f>
        <v>Axudas de custo e locomoción</v>
      </c>
      <c r="I35" s="7" t="s">
        <v>26</v>
      </c>
      <c r="J35" s="5"/>
      <c r="K35" s="7" t="s">
        <v>21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  <c r="Q35" s="7" t="s">
        <v>21</v>
      </c>
      <c r="R35" s="7" t="s">
        <v>21</v>
      </c>
    </row>
    <row r="36" spans="1:18" x14ac:dyDescent="0.25">
      <c r="A36" s="2">
        <v>34</v>
      </c>
      <c r="B36" s="3" t="s">
        <v>72</v>
      </c>
      <c r="C36" s="25" t="s">
        <v>279</v>
      </c>
      <c r="D36" s="6">
        <v>76.540000000000006</v>
      </c>
      <c r="E36" s="5"/>
      <c r="F36" s="7" t="s">
        <v>24</v>
      </c>
      <c r="G36" s="33" t="s">
        <v>29</v>
      </c>
      <c r="H36" s="32" t="str">
        <f>VLOOKUP(G36,Codigo!$A$2:$B$46,2,FALSE)</f>
        <v>Reparacións</v>
      </c>
      <c r="I36" s="7" t="s">
        <v>73</v>
      </c>
      <c r="J36" s="5"/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</row>
    <row r="37" spans="1:18" x14ac:dyDescent="0.25">
      <c r="A37" s="2">
        <v>35</v>
      </c>
      <c r="B37" s="3" t="s">
        <v>72</v>
      </c>
      <c r="C37" s="25" t="s">
        <v>230</v>
      </c>
      <c r="D37" s="6">
        <v>577.16999999999996</v>
      </c>
      <c r="E37" s="5"/>
      <c r="F37" s="7" t="s">
        <v>24</v>
      </c>
      <c r="G37" s="33" t="s">
        <v>25</v>
      </c>
      <c r="H37" s="32" t="str">
        <f>VLOOKUP(G37,Codigo!$A$2:$B$46,2,FALSE)</f>
        <v>Arredamientos</v>
      </c>
      <c r="I37" s="7" t="s">
        <v>73</v>
      </c>
      <c r="J37" s="5"/>
      <c r="K37" s="7" t="s">
        <v>21</v>
      </c>
      <c r="L37" s="7" t="s">
        <v>21</v>
      </c>
      <c r="M37" s="7" t="s">
        <v>21</v>
      </c>
      <c r="N37" s="7" t="s">
        <v>21</v>
      </c>
      <c r="O37" s="7" t="s">
        <v>21</v>
      </c>
      <c r="P37" s="7" t="s">
        <v>21</v>
      </c>
      <c r="Q37" s="7" t="s">
        <v>21</v>
      </c>
      <c r="R37" s="7" t="s">
        <v>21</v>
      </c>
    </row>
    <row r="38" spans="1:18" x14ac:dyDescent="0.25">
      <c r="A38" s="2">
        <v>36</v>
      </c>
      <c r="B38" s="3" t="s">
        <v>74</v>
      </c>
      <c r="C38" s="4" t="s">
        <v>75</v>
      </c>
      <c r="D38" s="5"/>
      <c r="E38" s="6">
        <v>8648</v>
      </c>
      <c r="F38" s="7" t="s">
        <v>20</v>
      </c>
      <c r="G38" s="33" t="s">
        <v>76</v>
      </c>
      <c r="H38" s="32" t="str">
        <f>VLOOKUP(G38,Codigo!$A$2:$B$46,2,FALSE)</f>
        <v>Gastos de funcionamento</v>
      </c>
      <c r="I38" s="7" t="s">
        <v>73</v>
      </c>
      <c r="J38" s="5"/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  <c r="Q38" s="7" t="s">
        <v>21</v>
      </c>
      <c r="R38" s="7" t="s">
        <v>21</v>
      </c>
    </row>
    <row r="39" spans="1:18" x14ac:dyDescent="0.25">
      <c r="A39" s="2">
        <v>37</v>
      </c>
      <c r="B39" s="3" t="s">
        <v>77</v>
      </c>
      <c r="C39" s="4" t="s">
        <v>78</v>
      </c>
      <c r="D39" s="5"/>
      <c r="E39" s="6">
        <v>2226</v>
      </c>
      <c r="F39" s="7" t="s">
        <v>20</v>
      </c>
      <c r="G39" s="33" t="s">
        <v>79</v>
      </c>
      <c r="H39" s="32" t="str">
        <f>VLOOKUP(G39,Codigo!$A$2:$B$46,2,FALSE)</f>
        <v>Dotacións UE-Outros organismos</v>
      </c>
      <c r="I39" s="7" t="s">
        <v>73</v>
      </c>
      <c r="J39" s="5"/>
      <c r="K39" s="7" t="s">
        <v>21</v>
      </c>
      <c r="L39" s="7" t="s">
        <v>21</v>
      </c>
      <c r="M39" s="7" t="s">
        <v>21</v>
      </c>
      <c r="N39" s="7" t="s">
        <v>21</v>
      </c>
      <c r="O39" s="7" t="s">
        <v>21</v>
      </c>
      <c r="P39" s="7" t="s">
        <v>21</v>
      </c>
      <c r="Q39" s="7" t="s">
        <v>21</v>
      </c>
      <c r="R39" s="7" t="s">
        <v>21</v>
      </c>
    </row>
    <row r="40" spans="1:18" x14ac:dyDescent="0.25">
      <c r="A40" s="2">
        <v>38</v>
      </c>
      <c r="B40" s="3" t="s">
        <v>80</v>
      </c>
      <c r="C40" s="4" t="s">
        <v>34</v>
      </c>
      <c r="D40" s="6">
        <v>60</v>
      </c>
      <c r="E40" s="5"/>
      <c r="F40" s="7" t="s">
        <v>24</v>
      </c>
      <c r="G40" s="33" t="s">
        <v>35</v>
      </c>
      <c r="H40" s="32" t="str">
        <f>VLOOKUP(G40,Codigo!$A$2:$B$46,2,FALSE)</f>
        <v>Gastos diversos</v>
      </c>
      <c r="I40" s="7" t="s">
        <v>26</v>
      </c>
      <c r="J40" s="5"/>
      <c r="K40" s="7" t="s">
        <v>36</v>
      </c>
      <c r="L40" s="7" t="s">
        <v>81</v>
      </c>
      <c r="M40" s="7" t="s">
        <v>21</v>
      </c>
      <c r="N40" s="7" t="s">
        <v>21</v>
      </c>
      <c r="O40" s="7" t="s">
        <v>21</v>
      </c>
      <c r="P40" s="7" t="s">
        <v>21</v>
      </c>
      <c r="Q40" s="7" t="s">
        <v>21</v>
      </c>
      <c r="R40" s="7" t="s">
        <v>21</v>
      </c>
    </row>
    <row r="41" spans="1:18" x14ac:dyDescent="0.25">
      <c r="A41" s="2">
        <v>39</v>
      </c>
      <c r="B41" s="3" t="s">
        <v>80</v>
      </c>
      <c r="C41" s="4" t="s">
        <v>34</v>
      </c>
      <c r="D41" s="6">
        <v>90</v>
      </c>
      <c r="E41" s="5"/>
      <c r="F41" s="7" t="s">
        <v>24</v>
      </c>
      <c r="G41" s="33" t="s">
        <v>35</v>
      </c>
      <c r="H41" s="32" t="str">
        <f>VLOOKUP(G41,Codigo!$A$2:$B$46,2,FALSE)</f>
        <v>Gastos diversos</v>
      </c>
      <c r="I41" s="7" t="s">
        <v>26</v>
      </c>
      <c r="J41" s="5"/>
      <c r="K41" s="7" t="s">
        <v>36</v>
      </c>
      <c r="L41" s="7" t="s">
        <v>38</v>
      </c>
      <c r="M41" s="7" t="s">
        <v>21</v>
      </c>
      <c r="N41" s="7" t="s">
        <v>21</v>
      </c>
      <c r="O41" s="7" t="s">
        <v>21</v>
      </c>
      <c r="P41" s="7" t="s">
        <v>21</v>
      </c>
      <c r="Q41" s="7" t="s">
        <v>21</v>
      </c>
      <c r="R41" s="7" t="s">
        <v>21</v>
      </c>
    </row>
    <row r="42" spans="1:18" x14ac:dyDescent="0.25">
      <c r="A42" s="2">
        <v>40</v>
      </c>
      <c r="B42" s="3" t="s">
        <v>80</v>
      </c>
      <c r="C42" s="4" t="s">
        <v>34</v>
      </c>
      <c r="D42" s="6">
        <v>120</v>
      </c>
      <c r="E42" s="5"/>
      <c r="F42" s="7" t="s">
        <v>24</v>
      </c>
      <c r="G42" s="33" t="s">
        <v>35</v>
      </c>
      <c r="H42" s="32" t="str">
        <f>VLOOKUP(G42,Codigo!$A$2:$B$46,2,FALSE)</f>
        <v>Gastos diversos</v>
      </c>
      <c r="I42" s="7" t="s">
        <v>26</v>
      </c>
      <c r="J42" s="5"/>
      <c r="K42" s="7" t="s">
        <v>36</v>
      </c>
      <c r="L42" s="7" t="s">
        <v>37</v>
      </c>
      <c r="M42" s="7" t="s">
        <v>21</v>
      </c>
      <c r="N42" s="7" t="s">
        <v>21</v>
      </c>
      <c r="O42" s="7" t="s">
        <v>21</v>
      </c>
      <c r="P42" s="7" t="s">
        <v>21</v>
      </c>
      <c r="Q42" s="7" t="s">
        <v>21</v>
      </c>
      <c r="R42" s="7" t="s">
        <v>21</v>
      </c>
    </row>
    <row r="43" spans="1:18" x14ac:dyDescent="0.25">
      <c r="A43" s="2">
        <v>41</v>
      </c>
      <c r="B43" s="3" t="s">
        <v>80</v>
      </c>
      <c r="C43" s="4" t="s">
        <v>46</v>
      </c>
      <c r="D43" s="6">
        <v>269.95</v>
      </c>
      <c r="E43" s="5"/>
      <c r="F43" s="7" t="s">
        <v>24</v>
      </c>
      <c r="G43" s="33" t="s">
        <v>35</v>
      </c>
      <c r="H43" s="32" t="str">
        <f>VLOOKUP(G43,Codigo!$A$2:$B$46,2,FALSE)</f>
        <v>Gastos diversos</v>
      </c>
      <c r="I43" s="7" t="s">
        <v>73</v>
      </c>
      <c r="J43" s="5"/>
      <c r="K43" s="7" t="s">
        <v>21</v>
      </c>
      <c r="L43" s="7" t="s">
        <v>21</v>
      </c>
      <c r="M43" s="7" t="s">
        <v>21</v>
      </c>
      <c r="N43" s="7" t="s">
        <v>21</v>
      </c>
      <c r="O43" s="7" t="s">
        <v>21</v>
      </c>
      <c r="P43" s="7" t="s">
        <v>21</v>
      </c>
      <c r="Q43" s="7" t="s">
        <v>21</v>
      </c>
      <c r="R43" s="7" t="s">
        <v>21</v>
      </c>
    </row>
    <row r="44" spans="1:18" x14ac:dyDescent="0.25">
      <c r="A44" s="2">
        <v>42</v>
      </c>
      <c r="B44" s="3" t="s">
        <v>80</v>
      </c>
      <c r="C44" s="4" t="s">
        <v>82</v>
      </c>
      <c r="D44" s="6">
        <v>13.98</v>
      </c>
      <c r="E44" s="5"/>
      <c r="F44" s="7" t="s">
        <v>24</v>
      </c>
      <c r="G44" s="33" t="s">
        <v>43</v>
      </c>
      <c r="H44" s="32" t="str">
        <f>VLOOKUP(G44,Codigo!$A$2:$B$46,2,FALSE)</f>
        <v>Outras Subministracións</v>
      </c>
      <c r="I44" s="7" t="s">
        <v>73</v>
      </c>
      <c r="J44" s="5"/>
      <c r="K44" s="7" t="s">
        <v>21</v>
      </c>
      <c r="L44" s="7" t="s">
        <v>21</v>
      </c>
      <c r="M44" s="7" t="s">
        <v>21</v>
      </c>
      <c r="N44" s="7" t="s">
        <v>21</v>
      </c>
      <c r="O44" s="7" t="s">
        <v>21</v>
      </c>
      <c r="P44" s="7" t="s">
        <v>21</v>
      </c>
      <c r="Q44" s="7" t="s">
        <v>21</v>
      </c>
      <c r="R44" s="7" t="s">
        <v>21</v>
      </c>
    </row>
    <row r="45" spans="1:18" x14ac:dyDescent="0.25">
      <c r="A45" s="2">
        <v>43</v>
      </c>
      <c r="B45" s="3" t="s">
        <v>83</v>
      </c>
      <c r="C45" s="4" t="s">
        <v>84</v>
      </c>
      <c r="D45" s="6">
        <v>15.65</v>
      </c>
      <c r="E45" s="5"/>
      <c r="F45" s="7" t="s">
        <v>24</v>
      </c>
      <c r="G45" s="33" t="s">
        <v>43</v>
      </c>
      <c r="H45" s="32" t="str">
        <f>VLOOKUP(G45,Codigo!$A$2:$B$46,2,FALSE)</f>
        <v>Outras Subministracións</v>
      </c>
      <c r="I45" s="7" t="s">
        <v>73</v>
      </c>
      <c r="J45" s="5"/>
      <c r="K45" s="7" t="s">
        <v>21</v>
      </c>
      <c r="L45" s="7" t="s">
        <v>21</v>
      </c>
      <c r="M45" s="7" t="s">
        <v>21</v>
      </c>
      <c r="N45" s="7" t="s">
        <v>21</v>
      </c>
      <c r="O45" s="7" t="s">
        <v>21</v>
      </c>
      <c r="P45" s="7" t="s">
        <v>21</v>
      </c>
      <c r="Q45" s="7" t="s">
        <v>21</v>
      </c>
      <c r="R45" s="7" t="s">
        <v>21</v>
      </c>
    </row>
    <row r="46" spans="1:18" x14ac:dyDescent="0.25">
      <c r="A46" s="2">
        <v>44</v>
      </c>
      <c r="B46" s="3" t="s">
        <v>83</v>
      </c>
      <c r="C46" s="4" t="s">
        <v>85</v>
      </c>
      <c r="D46" s="6">
        <v>72</v>
      </c>
      <c r="E46" s="6"/>
      <c r="F46" s="7" t="s">
        <v>24</v>
      </c>
      <c r="G46" s="33" t="s">
        <v>43</v>
      </c>
      <c r="H46" s="32" t="str">
        <f>VLOOKUP(G46,Codigo!$A$2:$B$46,2,FALSE)</f>
        <v>Outras Subministracións</v>
      </c>
      <c r="I46" s="7" t="s">
        <v>73</v>
      </c>
      <c r="J46" s="5"/>
      <c r="K46" s="7" t="s">
        <v>49</v>
      </c>
      <c r="L46" s="7" t="s">
        <v>21</v>
      </c>
      <c r="M46" s="7" t="s">
        <v>21</v>
      </c>
      <c r="N46" s="7" t="s">
        <v>21</v>
      </c>
      <c r="O46" s="7" t="s">
        <v>21</v>
      </c>
      <c r="P46" s="7" t="s">
        <v>21</v>
      </c>
      <c r="Q46" s="7" t="s">
        <v>21</v>
      </c>
      <c r="R46" s="7" t="s">
        <v>21</v>
      </c>
    </row>
    <row r="47" spans="1:18" x14ac:dyDescent="0.25">
      <c r="A47" s="2">
        <v>45</v>
      </c>
      <c r="B47" s="3" t="s">
        <v>83</v>
      </c>
      <c r="C47" s="4" t="s">
        <v>86</v>
      </c>
      <c r="D47" s="6">
        <v>74.569999999999993</v>
      </c>
      <c r="E47" s="5"/>
      <c r="F47" s="7" t="s">
        <v>24</v>
      </c>
      <c r="G47" s="33" t="s">
        <v>54</v>
      </c>
      <c r="H47" s="32" t="str">
        <f>VLOOKUP(G47,Codigo!$A$2:$B$46,2,FALSE)</f>
        <v>Axudas de custo e locomoción</v>
      </c>
      <c r="I47" s="7" t="s">
        <v>73</v>
      </c>
      <c r="J47" s="5"/>
      <c r="K47" s="7" t="s">
        <v>21</v>
      </c>
      <c r="L47" s="7" t="s">
        <v>21</v>
      </c>
      <c r="M47" s="7" t="s">
        <v>21</v>
      </c>
      <c r="N47" s="7" t="s">
        <v>21</v>
      </c>
      <c r="O47" s="7" t="s">
        <v>21</v>
      </c>
      <c r="P47" s="7" t="s">
        <v>21</v>
      </c>
      <c r="Q47" s="7" t="s">
        <v>21</v>
      </c>
      <c r="R47" s="7" t="s">
        <v>21</v>
      </c>
    </row>
    <row r="48" spans="1:18" x14ac:dyDescent="0.25">
      <c r="A48" s="2">
        <v>46</v>
      </c>
      <c r="B48" s="3" t="s">
        <v>83</v>
      </c>
      <c r="C48" s="4" t="s">
        <v>87</v>
      </c>
      <c r="D48" s="6">
        <v>22.88</v>
      </c>
      <c r="E48" s="5"/>
      <c r="F48" s="7" t="s">
        <v>24</v>
      </c>
      <c r="G48" s="33" t="s">
        <v>54</v>
      </c>
      <c r="H48" s="32" t="str">
        <f>VLOOKUP(G48,Codigo!$A$2:$B$46,2,FALSE)</f>
        <v>Axudas de custo e locomoción</v>
      </c>
      <c r="I48" s="7" t="s">
        <v>73</v>
      </c>
      <c r="J48" s="5"/>
      <c r="K48" s="7" t="s">
        <v>21</v>
      </c>
      <c r="L48" s="7" t="s">
        <v>21</v>
      </c>
      <c r="M48" s="7" t="s">
        <v>21</v>
      </c>
      <c r="N48" s="7" t="s">
        <v>21</v>
      </c>
      <c r="O48" s="7" t="s">
        <v>21</v>
      </c>
      <c r="P48" s="7" t="s">
        <v>21</v>
      </c>
      <c r="Q48" s="7" t="s">
        <v>21</v>
      </c>
      <c r="R48" s="7" t="s">
        <v>21</v>
      </c>
    </row>
    <row r="49" spans="1:18" x14ac:dyDescent="0.25">
      <c r="A49" s="2">
        <v>47</v>
      </c>
      <c r="B49" s="3" t="s">
        <v>83</v>
      </c>
      <c r="C49" s="4" t="s">
        <v>88</v>
      </c>
      <c r="D49" s="6">
        <v>22.88</v>
      </c>
      <c r="E49" s="5"/>
      <c r="F49" s="7" t="s">
        <v>24</v>
      </c>
      <c r="G49" s="33" t="s">
        <v>54</v>
      </c>
      <c r="H49" s="32" t="str">
        <f>VLOOKUP(G49,Codigo!$A$2:$B$46,2,FALSE)</f>
        <v>Axudas de custo e locomoción</v>
      </c>
      <c r="I49" s="7" t="s">
        <v>73</v>
      </c>
      <c r="J49" s="5"/>
      <c r="K49" s="7" t="s">
        <v>21</v>
      </c>
      <c r="L49" s="7" t="s">
        <v>21</v>
      </c>
      <c r="M49" s="7" t="s">
        <v>21</v>
      </c>
      <c r="N49" s="7" t="s">
        <v>21</v>
      </c>
      <c r="O49" s="7" t="s">
        <v>21</v>
      </c>
      <c r="P49" s="7" t="s">
        <v>21</v>
      </c>
      <c r="Q49" s="7" t="s">
        <v>21</v>
      </c>
      <c r="R49" s="7" t="s">
        <v>21</v>
      </c>
    </row>
    <row r="50" spans="1:18" x14ac:dyDescent="0.25">
      <c r="A50" s="2">
        <v>48</v>
      </c>
      <c r="B50" s="3" t="s">
        <v>89</v>
      </c>
      <c r="C50" s="25" t="s">
        <v>279</v>
      </c>
      <c r="D50" s="6">
        <v>76.540000000000006</v>
      </c>
      <c r="E50" s="5"/>
      <c r="F50" s="7" t="s">
        <v>24</v>
      </c>
      <c r="G50" s="33" t="s">
        <v>29</v>
      </c>
      <c r="H50" s="32" t="str">
        <f>VLOOKUP(G50,Codigo!$A$2:$B$46,2,FALSE)</f>
        <v>Reparacións</v>
      </c>
      <c r="I50" s="7" t="s">
        <v>73</v>
      </c>
      <c r="J50" s="5"/>
      <c r="K50" s="7" t="s">
        <v>21</v>
      </c>
      <c r="L50" s="7" t="s">
        <v>21</v>
      </c>
      <c r="M50" s="7" t="s">
        <v>21</v>
      </c>
      <c r="N50" s="7" t="s">
        <v>21</v>
      </c>
      <c r="O50" s="7" t="s">
        <v>21</v>
      </c>
      <c r="P50" s="7" t="s">
        <v>21</v>
      </c>
      <c r="Q50" s="7" t="s">
        <v>21</v>
      </c>
      <c r="R50" s="7" t="s">
        <v>21</v>
      </c>
    </row>
    <row r="51" spans="1:18" x14ac:dyDescent="0.25">
      <c r="A51" s="2">
        <v>49</v>
      </c>
      <c r="B51" s="3" t="s">
        <v>90</v>
      </c>
      <c r="C51" s="4" t="s">
        <v>91</v>
      </c>
      <c r="D51" s="6">
        <v>80.260000000000005</v>
      </c>
      <c r="E51" s="5"/>
      <c r="F51" s="7" t="s">
        <v>24</v>
      </c>
      <c r="G51" s="33" t="s">
        <v>35</v>
      </c>
      <c r="H51" s="32" t="str">
        <f>VLOOKUP(G51,Codigo!$A$2:$B$46,2,FALSE)</f>
        <v>Gastos diversos</v>
      </c>
      <c r="I51" s="7" t="s">
        <v>73</v>
      </c>
      <c r="J51" s="5"/>
      <c r="K51" s="7" t="s">
        <v>92</v>
      </c>
      <c r="L51" s="7" t="s">
        <v>21</v>
      </c>
      <c r="M51" s="7" t="s">
        <v>21</v>
      </c>
      <c r="N51" s="7" t="s">
        <v>21</v>
      </c>
      <c r="O51" s="7" t="s">
        <v>21</v>
      </c>
      <c r="P51" s="7" t="s">
        <v>21</v>
      </c>
      <c r="Q51" s="7" t="s">
        <v>21</v>
      </c>
      <c r="R51" s="7" t="s">
        <v>21</v>
      </c>
    </row>
    <row r="52" spans="1:18" x14ac:dyDescent="0.25">
      <c r="A52" s="2">
        <v>50</v>
      </c>
      <c r="B52" s="3" t="s">
        <v>90</v>
      </c>
      <c r="C52" s="4" t="s">
        <v>93</v>
      </c>
      <c r="D52" s="6">
        <v>377</v>
      </c>
      <c r="E52" s="5"/>
      <c r="F52" s="7" t="s">
        <v>24</v>
      </c>
      <c r="G52" s="33" t="s">
        <v>35</v>
      </c>
      <c r="H52" s="32" t="str">
        <f>VLOOKUP(G52,Codigo!$A$2:$B$46,2,FALSE)</f>
        <v>Gastos diversos</v>
      </c>
      <c r="I52" s="7" t="s">
        <v>73</v>
      </c>
      <c r="J52" s="5"/>
      <c r="K52" s="7" t="s">
        <v>21</v>
      </c>
      <c r="L52" s="7" t="s">
        <v>21</v>
      </c>
      <c r="M52" s="7" t="s">
        <v>21</v>
      </c>
      <c r="N52" s="7" t="s">
        <v>21</v>
      </c>
      <c r="O52" s="7" t="s">
        <v>21</v>
      </c>
      <c r="P52" s="7" t="s">
        <v>21</v>
      </c>
      <c r="Q52" s="7" t="s">
        <v>21</v>
      </c>
      <c r="R52" s="7" t="s">
        <v>21</v>
      </c>
    </row>
    <row r="53" spans="1:18" x14ac:dyDescent="0.25">
      <c r="A53" s="2">
        <v>51</v>
      </c>
      <c r="B53" s="3" t="s">
        <v>90</v>
      </c>
      <c r="C53" s="4" t="s">
        <v>93</v>
      </c>
      <c r="D53" s="6">
        <v>624</v>
      </c>
      <c r="E53" s="5"/>
      <c r="F53" s="7" t="s">
        <v>24</v>
      </c>
      <c r="G53" s="33" t="s">
        <v>35</v>
      </c>
      <c r="H53" s="32" t="str">
        <f>VLOOKUP(G53,Codigo!$A$2:$B$46,2,FALSE)</f>
        <v>Gastos diversos</v>
      </c>
      <c r="I53" s="7" t="s">
        <v>73</v>
      </c>
      <c r="J53" s="5"/>
      <c r="K53" s="7" t="s">
        <v>21</v>
      </c>
      <c r="L53" s="7" t="s">
        <v>21</v>
      </c>
      <c r="M53" s="7" t="s">
        <v>21</v>
      </c>
      <c r="N53" s="7" t="s">
        <v>21</v>
      </c>
      <c r="O53" s="7" t="s">
        <v>21</v>
      </c>
      <c r="P53" s="7" t="s">
        <v>21</v>
      </c>
      <c r="Q53" s="7" t="s">
        <v>21</v>
      </c>
      <c r="R53" s="7" t="s">
        <v>21</v>
      </c>
    </row>
    <row r="54" spans="1:18" x14ac:dyDescent="0.25">
      <c r="A54" s="2">
        <v>52</v>
      </c>
      <c r="B54" s="3" t="s">
        <v>90</v>
      </c>
      <c r="C54" s="4" t="s">
        <v>94</v>
      </c>
      <c r="D54" s="6">
        <v>17.16</v>
      </c>
      <c r="E54" s="5"/>
      <c r="F54" s="7" t="s">
        <v>24</v>
      </c>
      <c r="G54" s="33" t="s">
        <v>54</v>
      </c>
      <c r="H54" s="32" t="str">
        <f>VLOOKUP(G54,Codigo!$A$2:$B$46,2,FALSE)</f>
        <v>Axudas de custo e locomoción</v>
      </c>
      <c r="I54" s="7" t="s">
        <v>73</v>
      </c>
      <c r="J54" s="5"/>
      <c r="K54" s="7" t="s">
        <v>21</v>
      </c>
      <c r="L54" s="7" t="s">
        <v>21</v>
      </c>
      <c r="M54" s="7" t="s">
        <v>21</v>
      </c>
      <c r="N54" s="7" t="s">
        <v>21</v>
      </c>
      <c r="O54" s="7" t="s">
        <v>21</v>
      </c>
      <c r="P54" s="7" t="s">
        <v>21</v>
      </c>
      <c r="Q54" s="7" t="s">
        <v>21</v>
      </c>
      <c r="R54" s="7" t="s">
        <v>21</v>
      </c>
    </row>
    <row r="55" spans="1:18" x14ac:dyDescent="0.25">
      <c r="A55" s="2">
        <v>53</v>
      </c>
      <c r="B55" s="3" t="s">
        <v>90</v>
      </c>
      <c r="C55" s="4" t="s">
        <v>95</v>
      </c>
      <c r="D55" s="6">
        <v>50.08</v>
      </c>
      <c r="E55" s="5"/>
      <c r="F55" s="7" t="s">
        <v>24</v>
      </c>
      <c r="G55" s="33" t="s">
        <v>54</v>
      </c>
      <c r="H55" s="32" t="str">
        <f>VLOOKUP(G55,Codigo!$A$2:$B$46,2,FALSE)</f>
        <v>Axudas de custo e locomoción</v>
      </c>
      <c r="I55" s="7" t="s">
        <v>73</v>
      </c>
      <c r="J55" s="5"/>
      <c r="K55" s="7" t="s">
        <v>21</v>
      </c>
      <c r="L55" s="7" t="s">
        <v>21</v>
      </c>
      <c r="M55" s="7" t="s">
        <v>21</v>
      </c>
      <c r="N55" s="7" t="s">
        <v>21</v>
      </c>
      <c r="O55" s="7" t="s">
        <v>21</v>
      </c>
      <c r="P55" s="7" t="s">
        <v>21</v>
      </c>
      <c r="Q55" s="7" t="s">
        <v>21</v>
      </c>
      <c r="R55" s="7" t="s">
        <v>21</v>
      </c>
    </row>
    <row r="56" spans="1:18" x14ac:dyDescent="0.25">
      <c r="A56" s="2">
        <v>54</v>
      </c>
      <c r="B56" s="3" t="s">
        <v>90</v>
      </c>
      <c r="C56" s="4" t="s">
        <v>96</v>
      </c>
      <c r="D56" s="6">
        <v>17.16</v>
      </c>
      <c r="E56" s="5"/>
      <c r="F56" s="7" t="s">
        <v>24</v>
      </c>
      <c r="G56" s="33" t="s">
        <v>54</v>
      </c>
      <c r="H56" s="32" t="str">
        <f>VLOOKUP(G56,Codigo!$A$2:$B$46,2,FALSE)</f>
        <v>Axudas de custo e locomoción</v>
      </c>
      <c r="I56" s="7" t="s">
        <v>73</v>
      </c>
      <c r="J56" s="5"/>
      <c r="K56" s="7" t="s">
        <v>21</v>
      </c>
      <c r="L56" s="7" t="s">
        <v>21</v>
      </c>
      <c r="M56" s="7" t="s">
        <v>21</v>
      </c>
      <c r="N56" s="7" t="s">
        <v>21</v>
      </c>
      <c r="O56" s="7" t="s">
        <v>21</v>
      </c>
      <c r="P56" s="7" t="s">
        <v>21</v>
      </c>
      <c r="Q56" s="7" t="s">
        <v>21</v>
      </c>
      <c r="R56" s="7" t="s">
        <v>21</v>
      </c>
    </row>
    <row r="57" spans="1:18" x14ac:dyDescent="0.25">
      <c r="A57" s="2">
        <v>55</v>
      </c>
      <c r="B57" s="3" t="s">
        <v>90</v>
      </c>
      <c r="C57" s="4" t="s">
        <v>78</v>
      </c>
      <c r="D57" s="6">
        <v>2226</v>
      </c>
      <c r="E57" s="5"/>
      <c r="F57" s="7" t="s">
        <v>24</v>
      </c>
      <c r="G57" s="33" t="s">
        <v>35</v>
      </c>
      <c r="H57" s="32" t="str">
        <f>VLOOKUP(G57,Codigo!$A$2:$B$46,2,FALSE)</f>
        <v>Gastos diversos</v>
      </c>
      <c r="I57" s="7" t="s">
        <v>73</v>
      </c>
      <c r="J57" s="5"/>
      <c r="K57" s="7" t="s">
        <v>21</v>
      </c>
      <c r="L57" s="7" t="s">
        <v>21</v>
      </c>
      <c r="M57" s="7" t="s">
        <v>21</v>
      </c>
      <c r="N57" s="7" t="s">
        <v>21</v>
      </c>
      <c r="O57" s="7" t="s">
        <v>21</v>
      </c>
      <c r="P57" s="7" t="s">
        <v>21</v>
      </c>
      <c r="Q57" s="7" t="s">
        <v>21</v>
      </c>
      <c r="R57" s="7" t="s">
        <v>21</v>
      </c>
    </row>
    <row r="58" spans="1:18" x14ac:dyDescent="0.25">
      <c r="A58" s="2">
        <v>56</v>
      </c>
      <c r="B58" s="3" t="s">
        <v>90</v>
      </c>
      <c r="C58" s="4" t="s">
        <v>34</v>
      </c>
      <c r="D58" s="6">
        <v>90</v>
      </c>
      <c r="E58" s="5"/>
      <c r="F58" s="7" t="s">
        <v>24</v>
      </c>
      <c r="G58" s="33" t="s">
        <v>35</v>
      </c>
      <c r="H58" s="32" t="str">
        <f>VLOOKUP(G58,Codigo!$A$2:$B$46,2,FALSE)</f>
        <v>Gastos diversos</v>
      </c>
      <c r="I58" s="7" t="s">
        <v>73</v>
      </c>
      <c r="J58" s="5"/>
      <c r="K58" s="7" t="s">
        <v>36</v>
      </c>
      <c r="L58" s="7" t="s">
        <v>37</v>
      </c>
      <c r="M58" s="7" t="s">
        <v>21</v>
      </c>
      <c r="N58" s="7" t="s">
        <v>21</v>
      </c>
      <c r="O58" s="7" t="s">
        <v>21</v>
      </c>
      <c r="P58" s="7" t="s">
        <v>21</v>
      </c>
      <c r="Q58" s="7" t="s">
        <v>21</v>
      </c>
      <c r="R58" s="7" t="s">
        <v>21</v>
      </c>
    </row>
    <row r="59" spans="1:18" x14ac:dyDescent="0.25">
      <c r="A59" s="2">
        <v>57</v>
      </c>
      <c r="B59" s="3" t="s">
        <v>90</v>
      </c>
      <c r="C59" s="4" t="s">
        <v>34</v>
      </c>
      <c r="D59" s="6">
        <v>120</v>
      </c>
      <c r="E59" s="5"/>
      <c r="F59" s="7" t="s">
        <v>24</v>
      </c>
      <c r="G59" s="33" t="s">
        <v>35</v>
      </c>
      <c r="H59" s="32" t="str">
        <f>VLOOKUP(G59,Codigo!$A$2:$B$46,2,FALSE)</f>
        <v>Gastos diversos</v>
      </c>
      <c r="I59" s="7" t="s">
        <v>73</v>
      </c>
      <c r="J59" s="5"/>
      <c r="K59" s="7" t="s">
        <v>36</v>
      </c>
      <c r="L59" s="7" t="s">
        <v>38</v>
      </c>
      <c r="M59" s="7" t="s">
        <v>21</v>
      </c>
      <c r="N59" s="7" t="s">
        <v>21</v>
      </c>
      <c r="O59" s="7" t="s">
        <v>21</v>
      </c>
      <c r="P59" s="7" t="s">
        <v>21</v>
      </c>
      <c r="Q59" s="7" t="s">
        <v>21</v>
      </c>
      <c r="R59" s="7" t="s">
        <v>21</v>
      </c>
    </row>
    <row r="60" spans="1:18" x14ac:dyDescent="0.25">
      <c r="A60" s="2">
        <v>58</v>
      </c>
      <c r="B60" s="3" t="s">
        <v>97</v>
      </c>
      <c r="C60" s="4" t="s">
        <v>98</v>
      </c>
      <c r="D60" s="5"/>
      <c r="E60" s="6">
        <v>1015</v>
      </c>
      <c r="F60" s="7" t="s">
        <v>20</v>
      </c>
      <c r="G60" s="33" t="s">
        <v>60</v>
      </c>
      <c r="H60" s="32" t="str">
        <f>VLOOKUP(G60,Codigo!$A$2:$B$46,2,FALSE)</f>
        <v>Dotacións legados e subvencións</v>
      </c>
      <c r="I60" s="7" t="s">
        <v>73</v>
      </c>
      <c r="J60" s="5"/>
      <c r="K60" s="7" t="s">
        <v>21</v>
      </c>
      <c r="L60" s="7" t="s">
        <v>21</v>
      </c>
      <c r="M60" s="7" t="s">
        <v>21</v>
      </c>
      <c r="N60" s="7" t="s">
        <v>21</v>
      </c>
      <c r="O60" s="7" t="s">
        <v>21</v>
      </c>
      <c r="P60" s="7" t="s">
        <v>21</v>
      </c>
      <c r="Q60" s="7" t="s">
        <v>21</v>
      </c>
      <c r="R60" s="7" t="s">
        <v>21</v>
      </c>
    </row>
    <row r="61" spans="1:18" x14ac:dyDescent="0.25">
      <c r="A61" s="2">
        <v>59</v>
      </c>
      <c r="B61" s="3" t="s">
        <v>97</v>
      </c>
      <c r="C61" s="4" t="s">
        <v>99</v>
      </c>
      <c r="D61" s="5"/>
      <c r="E61" s="6">
        <v>308</v>
      </c>
      <c r="F61" s="7" t="s">
        <v>20</v>
      </c>
      <c r="G61" s="33" t="s">
        <v>60</v>
      </c>
      <c r="H61" s="32" t="str">
        <f>VLOOKUP(G61,Codigo!$A$2:$B$46,2,FALSE)</f>
        <v>Dotacións legados e subvencións</v>
      </c>
      <c r="I61" s="7" t="s">
        <v>73</v>
      </c>
      <c r="J61" s="5"/>
      <c r="K61" s="7" t="s">
        <v>21</v>
      </c>
      <c r="L61" s="7" t="s">
        <v>21</v>
      </c>
      <c r="M61" s="7" t="s">
        <v>21</v>
      </c>
      <c r="N61" s="7" t="s">
        <v>21</v>
      </c>
      <c r="O61" s="7" t="s">
        <v>21</v>
      </c>
      <c r="P61" s="7" t="s">
        <v>21</v>
      </c>
      <c r="Q61" s="7" t="s">
        <v>21</v>
      </c>
      <c r="R61" s="7" t="s">
        <v>21</v>
      </c>
    </row>
    <row r="62" spans="1:18" x14ac:dyDescent="0.25">
      <c r="A62" s="2">
        <v>60</v>
      </c>
      <c r="B62" s="3" t="s">
        <v>97</v>
      </c>
      <c r="C62" s="4" t="s">
        <v>100</v>
      </c>
      <c r="D62" s="5"/>
      <c r="E62" s="6">
        <v>624</v>
      </c>
      <c r="F62" s="7" t="s">
        <v>20</v>
      </c>
      <c r="G62" s="33" t="s">
        <v>60</v>
      </c>
      <c r="H62" s="32" t="str">
        <f>VLOOKUP(G62,Codigo!$A$2:$B$46,2,FALSE)</f>
        <v>Dotacións legados e subvencións</v>
      </c>
      <c r="I62" s="7" t="s">
        <v>73</v>
      </c>
      <c r="J62" s="5"/>
      <c r="K62" s="7" t="s">
        <v>21</v>
      </c>
      <c r="L62" s="7" t="s">
        <v>21</v>
      </c>
      <c r="M62" s="7" t="s">
        <v>21</v>
      </c>
      <c r="N62" s="7" t="s">
        <v>21</v>
      </c>
      <c r="O62" s="7" t="s">
        <v>21</v>
      </c>
      <c r="P62" s="7" t="s">
        <v>21</v>
      </c>
      <c r="Q62" s="7" t="s">
        <v>21</v>
      </c>
      <c r="R62" s="7" t="s">
        <v>21</v>
      </c>
    </row>
    <row r="63" spans="1:18" x14ac:dyDescent="0.25">
      <c r="A63" s="2">
        <v>61</v>
      </c>
      <c r="B63" s="3" t="s">
        <v>101</v>
      </c>
      <c r="C63" s="4" t="s">
        <v>102</v>
      </c>
      <c r="D63" s="6">
        <v>16</v>
      </c>
      <c r="E63" s="5"/>
      <c r="F63" s="7" t="s">
        <v>24</v>
      </c>
      <c r="G63" s="33" t="s">
        <v>43</v>
      </c>
      <c r="H63" s="32" t="str">
        <f>VLOOKUP(G63,Codigo!$A$2:$B$46,2,FALSE)</f>
        <v>Outras Subministracións</v>
      </c>
      <c r="I63" s="7" t="s">
        <v>73</v>
      </c>
      <c r="J63" s="5"/>
      <c r="K63" s="7" t="s">
        <v>21</v>
      </c>
      <c r="L63" s="7" t="s">
        <v>21</v>
      </c>
      <c r="M63" s="7" t="s">
        <v>21</v>
      </c>
      <c r="N63" s="7" t="s">
        <v>21</v>
      </c>
      <c r="O63" s="7" t="s">
        <v>21</v>
      </c>
      <c r="P63" s="7" t="s">
        <v>21</v>
      </c>
      <c r="Q63" s="7" t="s">
        <v>21</v>
      </c>
      <c r="R63" s="7" t="s">
        <v>21</v>
      </c>
    </row>
    <row r="64" spans="1:18" x14ac:dyDescent="0.25">
      <c r="A64" s="2">
        <v>62</v>
      </c>
      <c r="B64" s="3" t="s">
        <v>101</v>
      </c>
      <c r="C64" s="4" t="s">
        <v>102</v>
      </c>
      <c r="D64" s="6">
        <v>4.95</v>
      </c>
      <c r="E64" s="5"/>
      <c r="F64" s="7" t="s">
        <v>24</v>
      </c>
      <c r="G64" s="33" t="s">
        <v>43</v>
      </c>
      <c r="H64" s="32" t="str">
        <f>VLOOKUP(G64,Codigo!$A$2:$B$46,2,FALSE)</f>
        <v>Outras Subministracións</v>
      </c>
      <c r="I64" s="7" t="s">
        <v>73</v>
      </c>
      <c r="J64" s="5"/>
      <c r="K64" s="7" t="s">
        <v>21</v>
      </c>
      <c r="L64" s="7" t="s">
        <v>21</v>
      </c>
      <c r="M64" s="7" t="s">
        <v>21</v>
      </c>
      <c r="N64" s="7" t="s">
        <v>21</v>
      </c>
      <c r="O64" s="7" t="s">
        <v>21</v>
      </c>
      <c r="P64" s="7" t="s">
        <v>21</v>
      </c>
      <c r="Q64" s="7" t="s">
        <v>21</v>
      </c>
      <c r="R64" s="7" t="s">
        <v>21</v>
      </c>
    </row>
    <row r="65" spans="1:18" x14ac:dyDescent="0.25">
      <c r="A65" s="2">
        <v>63</v>
      </c>
      <c r="B65" s="3" t="s">
        <v>101</v>
      </c>
      <c r="C65" s="4" t="s">
        <v>104</v>
      </c>
      <c r="D65" s="6">
        <v>1000</v>
      </c>
      <c r="E65" s="5"/>
      <c r="F65" s="7" t="s">
        <v>24</v>
      </c>
      <c r="G65" s="33" t="s">
        <v>35</v>
      </c>
      <c r="H65" s="32" t="str">
        <f>VLOOKUP(G65,Codigo!$A$2:$B$46,2,FALSE)</f>
        <v>Gastos diversos</v>
      </c>
      <c r="I65" s="7" t="s">
        <v>73</v>
      </c>
      <c r="J65" s="5"/>
      <c r="K65" s="7" t="s">
        <v>105</v>
      </c>
      <c r="L65" s="7" t="s">
        <v>21</v>
      </c>
      <c r="M65" s="7" t="s">
        <v>21</v>
      </c>
      <c r="N65" s="7" t="s">
        <v>21</v>
      </c>
      <c r="O65" s="7" t="s">
        <v>21</v>
      </c>
      <c r="P65" s="7" t="s">
        <v>21</v>
      </c>
      <c r="Q65" s="7" t="s">
        <v>21</v>
      </c>
      <c r="R65" s="7" t="s">
        <v>21</v>
      </c>
    </row>
    <row r="66" spans="1:18" x14ac:dyDescent="0.25">
      <c r="A66" s="2">
        <v>64</v>
      </c>
      <c r="B66" s="3" t="s">
        <v>106</v>
      </c>
      <c r="C66" s="4" t="s">
        <v>107</v>
      </c>
      <c r="D66" s="6">
        <v>377</v>
      </c>
      <c r="E66" s="5"/>
      <c r="F66" s="7" t="s">
        <v>24</v>
      </c>
      <c r="G66" s="33" t="s">
        <v>35</v>
      </c>
      <c r="H66" s="32" t="str">
        <f>VLOOKUP(G66,Codigo!$A$2:$B$46,2,FALSE)</f>
        <v>Gastos diversos</v>
      </c>
      <c r="I66" s="7" t="s">
        <v>73</v>
      </c>
      <c r="J66" s="5"/>
      <c r="K66" s="7" t="s">
        <v>21</v>
      </c>
      <c r="L66" s="7" t="s">
        <v>21</v>
      </c>
      <c r="M66" s="7" t="s">
        <v>21</v>
      </c>
      <c r="N66" s="7" t="s">
        <v>21</v>
      </c>
      <c r="O66" s="7" t="s">
        <v>21</v>
      </c>
      <c r="P66" s="7" t="s">
        <v>21</v>
      </c>
      <c r="Q66" s="7" t="s">
        <v>21</v>
      </c>
      <c r="R66" s="7" t="s">
        <v>21</v>
      </c>
    </row>
    <row r="67" spans="1:18" x14ac:dyDescent="0.25">
      <c r="A67" s="2">
        <v>65</v>
      </c>
      <c r="B67" s="3" t="s">
        <v>106</v>
      </c>
      <c r="C67" s="4" t="s">
        <v>108</v>
      </c>
      <c r="D67" s="6">
        <v>53.65</v>
      </c>
      <c r="E67" s="5"/>
      <c r="F67" s="7" t="s">
        <v>24</v>
      </c>
      <c r="G67" s="33" t="s">
        <v>43</v>
      </c>
      <c r="H67" s="32" t="str">
        <f>VLOOKUP(G67,Codigo!$A$2:$B$46,2,FALSE)</f>
        <v>Outras Subministracións</v>
      </c>
      <c r="I67" s="7" t="s">
        <v>73</v>
      </c>
      <c r="J67" s="5"/>
      <c r="K67" s="7" t="s">
        <v>21</v>
      </c>
      <c r="L67" s="7" t="s">
        <v>21</v>
      </c>
      <c r="M67" s="7" t="s">
        <v>21</v>
      </c>
      <c r="N67" s="7" t="s">
        <v>21</v>
      </c>
      <c r="O67" s="7" t="s">
        <v>21</v>
      </c>
      <c r="P67" s="7" t="s">
        <v>21</v>
      </c>
      <c r="Q67" s="7" t="s">
        <v>21</v>
      </c>
      <c r="R67" s="7" t="s">
        <v>21</v>
      </c>
    </row>
    <row r="68" spans="1:18" x14ac:dyDescent="0.25">
      <c r="A68" s="2">
        <v>66</v>
      </c>
      <c r="B68" s="3" t="s">
        <v>109</v>
      </c>
      <c r="C68" s="4" t="s">
        <v>34</v>
      </c>
      <c r="D68" s="6">
        <v>120</v>
      </c>
      <c r="E68" s="5"/>
      <c r="F68" s="7" t="s">
        <v>24</v>
      </c>
      <c r="G68" s="33" t="s">
        <v>35</v>
      </c>
      <c r="H68" s="32" t="str">
        <f>VLOOKUP(G68,Codigo!$A$2:$B$46,2,FALSE)</f>
        <v>Gastos diversos</v>
      </c>
      <c r="I68" s="7" t="s">
        <v>73</v>
      </c>
      <c r="J68" s="5"/>
      <c r="K68" s="7" t="s">
        <v>36</v>
      </c>
      <c r="L68" s="7" t="s">
        <v>37</v>
      </c>
      <c r="M68" s="7" t="s">
        <v>21</v>
      </c>
      <c r="N68" s="7" t="s">
        <v>21</v>
      </c>
      <c r="O68" s="7" t="s">
        <v>21</v>
      </c>
      <c r="P68" s="7" t="s">
        <v>21</v>
      </c>
      <c r="Q68" s="7" t="s">
        <v>21</v>
      </c>
      <c r="R68" s="7" t="s">
        <v>21</v>
      </c>
    </row>
    <row r="69" spans="1:18" x14ac:dyDescent="0.25">
      <c r="A69" s="2">
        <v>67</v>
      </c>
      <c r="B69" s="3" t="s">
        <v>109</v>
      </c>
      <c r="C69" s="4" t="s">
        <v>34</v>
      </c>
      <c r="D69" s="6">
        <v>120</v>
      </c>
      <c r="E69" s="5"/>
      <c r="F69" s="7" t="s">
        <v>24</v>
      </c>
      <c r="G69" s="33" t="s">
        <v>35</v>
      </c>
      <c r="H69" s="32" t="str">
        <f>VLOOKUP(G69,Codigo!$A$2:$B$46,2,FALSE)</f>
        <v>Gastos diversos</v>
      </c>
      <c r="I69" s="7" t="s">
        <v>73</v>
      </c>
      <c r="J69" s="5"/>
      <c r="K69" s="7" t="s">
        <v>36</v>
      </c>
      <c r="L69" s="7" t="s">
        <v>38</v>
      </c>
      <c r="M69" s="7" t="s">
        <v>21</v>
      </c>
      <c r="N69" s="7" t="s">
        <v>21</v>
      </c>
      <c r="O69" s="7" t="s">
        <v>21</v>
      </c>
      <c r="P69" s="7" t="s">
        <v>21</v>
      </c>
      <c r="Q69" s="7" t="s">
        <v>21</v>
      </c>
      <c r="R69" s="7" t="s">
        <v>21</v>
      </c>
    </row>
    <row r="70" spans="1:18" x14ac:dyDescent="0.25">
      <c r="A70" s="2">
        <v>68</v>
      </c>
      <c r="B70" s="3" t="s">
        <v>109</v>
      </c>
      <c r="C70" s="4" t="s">
        <v>107</v>
      </c>
      <c r="D70" s="6">
        <v>624</v>
      </c>
      <c r="E70" s="5"/>
      <c r="F70" s="7" t="s">
        <v>24</v>
      </c>
      <c r="G70" s="33" t="s">
        <v>35</v>
      </c>
      <c r="H70" s="32" t="str">
        <f>VLOOKUP(G70,Codigo!$A$2:$B$46,2,FALSE)</f>
        <v>Gastos diversos</v>
      </c>
      <c r="I70" s="7" t="s">
        <v>73</v>
      </c>
      <c r="J70" s="5"/>
      <c r="K70" s="7" t="s">
        <v>21</v>
      </c>
      <c r="L70" s="7" t="s">
        <v>21</v>
      </c>
      <c r="M70" s="7" t="s">
        <v>21</v>
      </c>
      <c r="N70" s="7" t="s">
        <v>21</v>
      </c>
      <c r="O70" s="7" t="s">
        <v>21</v>
      </c>
      <c r="P70" s="7" t="s">
        <v>21</v>
      </c>
      <c r="Q70" s="7" t="s">
        <v>21</v>
      </c>
      <c r="R70" s="7" t="s">
        <v>21</v>
      </c>
    </row>
    <row r="71" spans="1:18" x14ac:dyDescent="0.25">
      <c r="A71" s="2">
        <v>69</v>
      </c>
      <c r="B71" s="3" t="s">
        <v>109</v>
      </c>
      <c r="C71" s="4" t="s">
        <v>110</v>
      </c>
      <c r="D71" s="6">
        <v>15</v>
      </c>
      <c r="E71" s="5"/>
      <c r="F71" s="7" t="s">
        <v>24</v>
      </c>
      <c r="G71" s="33" t="s">
        <v>35</v>
      </c>
      <c r="H71" s="32" t="str">
        <f>VLOOKUP(G71,Codigo!$A$2:$B$46,2,FALSE)</f>
        <v>Gastos diversos</v>
      </c>
      <c r="I71" s="7" t="s">
        <v>73</v>
      </c>
      <c r="J71" s="5"/>
      <c r="K71" s="7" t="s">
        <v>21</v>
      </c>
      <c r="L71" s="7" t="s">
        <v>21</v>
      </c>
      <c r="M71" s="7" t="s">
        <v>21</v>
      </c>
      <c r="N71" s="7" t="s">
        <v>21</v>
      </c>
      <c r="O71" s="7" t="s">
        <v>21</v>
      </c>
      <c r="P71" s="7" t="s">
        <v>21</v>
      </c>
      <c r="Q71" s="7" t="s">
        <v>21</v>
      </c>
      <c r="R71" s="7" t="s">
        <v>21</v>
      </c>
    </row>
    <row r="72" spans="1:18" x14ac:dyDescent="0.25">
      <c r="A72" s="2">
        <v>70</v>
      </c>
      <c r="B72" s="3" t="s">
        <v>109</v>
      </c>
      <c r="C72" s="4" t="s">
        <v>111</v>
      </c>
      <c r="D72" s="6">
        <v>15</v>
      </c>
      <c r="E72" s="5"/>
      <c r="F72" s="7" t="s">
        <v>24</v>
      </c>
      <c r="G72" s="33" t="s">
        <v>35</v>
      </c>
      <c r="H72" s="32" t="str">
        <f>VLOOKUP(G72,Codigo!$A$2:$B$46,2,FALSE)</f>
        <v>Gastos diversos</v>
      </c>
      <c r="I72" s="7" t="s">
        <v>73</v>
      </c>
      <c r="J72" s="5"/>
      <c r="K72" s="7" t="s">
        <v>21</v>
      </c>
      <c r="L72" s="7" t="s">
        <v>21</v>
      </c>
      <c r="M72" s="7" t="s">
        <v>21</v>
      </c>
      <c r="N72" s="7" t="s">
        <v>21</v>
      </c>
      <c r="O72" s="7" t="s">
        <v>21</v>
      </c>
      <c r="P72" s="7" t="s">
        <v>21</v>
      </c>
      <c r="Q72" s="7" t="s">
        <v>21</v>
      </c>
      <c r="R72" s="7" t="s">
        <v>21</v>
      </c>
    </row>
    <row r="73" spans="1:18" x14ac:dyDescent="0.25">
      <c r="A73" s="2">
        <v>71</v>
      </c>
      <c r="B73" s="3" t="s">
        <v>109</v>
      </c>
      <c r="C73" s="4" t="s">
        <v>112</v>
      </c>
      <c r="D73" s="6">
        <v>60</v>
      </c>
      <c r="E73" s="5"/>
      <c r="F73" s="7" t="s">
        <v>24</v>
      </c>
      <c r="G73" s="33" t="s">
        <v>35</v>
      </c>
      <c r="H73" s="32" t="str">
        <f>VLOOKUP(G73,Codigo!$A$2:$B$46,2,FALSE)</f>
        <v>Gastos diversos</v>
      </c>
      <c r="I73" s="7" t="s">
        <v>73</v>
      </c>
      <c r="J73" s="5"/>
      <c r="K73" s="7" t="s">
        <v>21</v>
      </c>
      <c r="L73" s="7" t="s">
        <v>21</v>
      </c>
      <c r="M73" s="7" t="s">
        <v>21</v>
      </c>
      <c r="N73" s="7" t="s">
        <v>21</v>
      </c>
      <c r="O73" s="7" t="s">
        <v>21</v>
      </c>
      <c r="P73" s="7" t="s">
        <v>21</v>
      </c>
      <c r="Q73" s="7" t="s">
        <v>21</v>
      </c>
      <c r="R73" s="7" t="s">
        <v>21</v>
      </c>
    </row>
    <row r="74" spans="1:18" x14ac:dyDescent="0.25">
      <c r="A74" s="2">
        <v>72</v>
      </c>
      <c r="B74" s="3" t="s">
        <v>109</v>
      </c>
      <c r="C74" s="4" t="s">
        <v>112</v>
      </c>
      <c r="D74" s="6">
        <v>60</v>
      </c>
      <c r="E74" s="5"/>
      <c r="F74" s="7" t="s">
        <v>24</v>
      </c>
      <c r="G74" s="33" t="s">
        <v>35</v>
      </c>
      <c r="H74" s="32" t="str">
        <f>VLOOKUP(G74,Codigo!$A$2:$B$46,2,FALSE)</f>
        <v>Gastos diversos</v>
      </c>
      <c r="I74" s="7" t="s">
        <v>73</v>
      </c>
      <c r="J74" s="5"/>
      <c r="K74" s="7" t="s">
        <v>21</v>
      </c>
      <c r="L74" s="7" t="s">
        <v>21</v>
      </c>
      <c r="M74" s="7" t="s">
        <v>21</v>
      </c>
      <c r="N74" s="7" t="s">
        <v>21</v>
      </c>
      <c r="O74" s="7" t="s">
        <v>21</v>
      </c>
      <c r="P74" s="7" t="s">
        <v>21</v>
      </c>
      <c r="Q74" s="7" t="s">
        <v>21</v>
      </c>
      <c r="R74" s="7" t="s">
        <v>21</v>
      </c>
    </row>
    <row r="75" spans="1:18" x14ac:dyDescent="0.25">
      <c r="A75" s="2">
        <v>73</v>
      </c>
      <c r="B75" s="3" t="s">
        <v>109</v>
      </c>
      <c r="C75" s="4" t="s">
        <v>113</v>
      </c>
      <c r="D75" s="6">
        <v>52</v>
      </c>
      <c r="E75" s="5"/>
      <c r="F75" s="7" t="s">
        <v>24</v>
      </c>
      <c r="G75" s="33" t="s">
        <v>35</v>
      </c>
      <c r="H75" s="32" t="str">
        <f>VLOOKUP(G75,Codigo!$A$2:$B$46,2,FALSE)</f>
        <v>Gastos diversos</v>
      </c>
      <c r="I75" s="7" t="s">
        <v>73</v>
      </c>
      <c r="J75" s="5"/>
      <c r="K75" s="7" t="s">
        <v>49</v>
      </c>
      <c r="L75" s="7" t="s">
        <v>21</v>
      </c>
      <c r="M75" s="7" t="s">
        <v>21</v>
      </c>
      <c r="N75" s="7" t="s">
        <v>21</v>
      </c>
      <c r="O75" s="7" t="s">
        <v>21</v>
      </c>
      <c r="P75" s="7" t="s">
        <v>21</v>
      </c>
      <c r="Q75" s="7" t="s">
        <v>21</v>
      </c>
      <c r="R75" s="7" t="s">
        <v>21</v>
      </c>
    </row>
    <row r="76" spans="1:18" x14ac:dyDescent="0.25">
      <c r="A76" s="2">
        <v>74</v>
      </c>
      <c r="B76" s="3" t="s">
        <v>109</v>
      </c>
      <c r="C76" s="4" t="s">
        <v>114</v>
      </c>
      <c r="D76" s="6">
        <v>10.9</v>
      </c>
      <c r="E76" s="5"/>
      <c r="F76" s="7" t="s">
        <v>24</v>
      </c>
      <c r="G76" s="33" t="s">
        <v>43</v>
      </c>
      <c r="H76" s="32" t="str">
        <f>VLOOKUP(G76,Codigo!$A$2:$B$46,2,FALSE)</f>
        <v>Outras Subministracións</v>
      </c>
      <c r="I76" s="7" t="s">
        <v>73</v>
      </c>
      <c r="J76" s="5"/>
      <c r="K76" s="7" t="s">
        <v>21</v>
      </c>
      <c r="L76" s="7" t="s">
        <v>21</v>
      </c>
      <c r="M76" s="7" t="s">
        <v>21</v>
      </c>
      <c r="N76" s="7" t="s">
        <v>21</v>
      </c>
      <c r="O76" s="7" t="s">
        <v>21</v>
      </c>
      <c r="P76" s="7" t="s">
        <v>21</v>
      </c>
      <c r="Q76" s="7" t="s">
        <v>21</v>
      </c>
      <c r="R76" s="7" t="s">
        <v>21</v>
      </c>
    </row>
    <row r="77" spans="1:18" x14ac:dyDescent="0.25">
      <c r="A77" s="2">
        <v>75</v>
      </c>
      <c r="B77" s="3" t="s">
        <v>115</v>
      </c>
      <c r="C77" s="25" t="s">
        <v>279</v>
      </c>
      <c r="D77" s="6">
        <v>76.540000000000006</v>
      </c>
      <c r="E77" s="5"/>
      <c r="F77" s="7" t="s">
        <v>24</v>
      </c>
      <c r="G77" s="33" t="s">
        <v>29</v>
      </c>
      <c r="H77" s="32" t="str">
        <f>VLOOKUP(G77,Codigo!$A$2:$B$46,2,FALSE)</f>
        <v>Reparacións</v>
      </c>
      <c r="I77" s="7" t="s">
        <v>73</v>
      </c>
      <c r="J77" s="5"/>
      <c r="K77" s="7" t="s">
        <v>21</v>
      </c>
      <c r="L77" s="7" t="s">
        <v>21</v>
      </c>
      <c r="M77" s="7" t="s">
        <v>21</v>
      </c>
      <c r="N77" s="7" t="s">
        <v>21</v>
      </c>
      <c r="O77" s="7" t="s">
        <v>21</v>
      </c>
      <c r="P77" s="7" t="s">
        <v>21</v>
      </c>
      <c r="Q77" s="7" t="s">
        <v>21</v>
      </c>
      <c r="R77" s="7" t="s">
        <v>21</v>
      </c>
    </row>
    <row r="78" spans="1:18" x14ac:dyDescent="0.25">
      <c r="A78" s="2">
        <v>76</v>
      </c>
      <c r="B78" s="3" t="s">
        <v>115</v>
      </c>
      <c r="C78" s="4" t="s">
        <v>116</v>
      </c>
      <c r="D78" s="5"/>
      <c r="E78" s="6">
        <v>624</v>
      </c>
      <c r="F78" s="7" t="s">
        <v>20</v>
      </c>
      <c r="G78" s="33" t="s">
        <v>60</v>
      </c>
      <c r="H78" s="32" t="str">
        <f>VLOOKUP(G78,Codigo!$A$2:$B$46,2,FALSE)</f>
        <v>Dotacións legados e subvencións</v>
      </c>
      <c r="I78" s="7" t="s">
        <v>73</v>
      </c>
      <c r="J78" s="5"/>
      <c r="K78" s="7" t="s">
        <v>21</v>
      </c>
      <c r="L78" s="7" t="s">
        <v>21</v>
      </c>
      <c r="M78" s="7" t="s">
        <v>21</v>
      </c>
      <c r="N78" s="7" t="s">
        <v>21</v>
      </c>
      <c r="O78" s="7" t="s">
        <v>21</v>
      </c>
      <c r="P78" s="7" t="s">
        <v>21</v>
      </c>
      <c r="Q78" s="7" t="s">
        <v>21</v>
      </c>
      <c r="R78" s="7" t="s">
        <v>21</v>
      </c>
    </row>
    <row r="79" spans="1:18" x14ac:dyDescent="0.25">
      <c r="A79" s="2">
        <v>77</v>
      </c>
      <c r="B79" s="3" t="s">
        <v>115</v>
      </c>
      <c r="C79" s="4" t="s">
        <v>117</v>
      </c>
      <c r="D79" s="5"/>
      <c r="E79" s="6">
        <v>550</v>
      </c>
      <c r="F79" s="7" t="s">
        <v>20</v>
      </c>
      <c r="G79" s="33" t="s">
        <v>60</v>
      </c>
      <c r="H79" s="32" t="str">
        <f>VLOOKUP(G79,Codigo!$A$2:$B$46,2,FALSE)</f>
        <v>Dotacións legados e subvencións</v>
      </c>
      <c r="I79" s="7" t="s">
        <v>73</v>
      </c>
      <c r="J79" s="5"/>
      <c r="K79" s="7" t="s">
        <v>21</v>
      </c>
      <c r="L79" s="7" t="s">
        <v>21</v>
      </c>
      <c r="M79" s="7" t="s">
        <v>21</v>
      </c>
      <c r="N79" s="7" t="s">
        <v>21</v>
      </c>
      <c r="O79" s="7" t="s">
        <v>21</v>
      </c>
      <c r="P79" s="7" t="s">
        <v>21</v>
      </c>
      <c r="Q79" s="7" t="s">
        <v>21</v>
      </c>
      <c r="R79" s="7" t="s">
        <v>21</v>
      </c>
    </row>
    <row r="80" spans="1:18" x14ac:dyDescent="0.25">
      <c r="A80" s="2">
        <v>78</v>
      </c>
      <c r="B80" s="3" t="s">
        <v>115</v>
      </c>
      <c r="C80" s="4" t="s">
        <v>118</v>
      </c>
      <c r="D80" s="5"/>
      <c r="E80" s="6">
        <v>320</v>
      </c>
      <c r="F80" s="7" t="s">
        <v>20</v>
      </c>
      <c r="G80" s="33" t="s">
        <v>60</v>
      </c>
      <c r="H80" s="32" t="str">
        <f>VLOOKUP(G80,Codigo!$A$2:$B$46,2,FALSE)</f>
        <v>Dotacións legados e subvencións</v>
      </c>
      <c r="I80" s="7" t="s">
        <v>73</v>
      </c>
      <c r="J80" s="5"/>
      <c r="K80" s="7" t="s">
        <v>21</v>
      </c>
      <c r="L80" s="7" t="s">
        <v>21</v>
      </c>
      <c r="M80" s="7" t="s">
        <v>21</v>
      </c>
      <c r="N80" s="7" t="s">
        <v>21</v>
      </c>
      <c r="O80" s="7" t="s">
        <v>21</v>
      </c>
      <c r="P80" s="7" t="s">
        <v>21</v>
      </c>
      <c r="Q80" s="7" t="s">
        <v>21</v>
      </c>
      <c r="R80" s="7" t="s">
        <v>21</v>
      </c>
    </row>
    <row r="81" spans="1:18" x14ac:dyDescent="0.25">
      <c r="A81" s="2">
        <v>79</v>
      </c>
      <c r="B81" s="3" t="s">
        <v>119</v>
      </c>
      <c r="C81" s="4" t="s">
        <v>120</v>
      </c>
      <c r="D81" s="6">
        <v>1294.76</v>
      </c>
      <c r="E81" s="5"/>
      <c r="F81" s="7" t="s">
        <v>24</v>
      </c>
      <c r="G81" s="33" t="s">
        <v>25</v>
      </c>
      <c r="H81" s="32" t="str">
        <f>VLOOKUP(G81,Codigo!$A$2:$B$46,2,FALSE)</f>
        <v>Arredamientos</v>
      </c>
      <c r="I81" s="7" t="s">
        <v>73</v>
      </c>
      <c r="J81" s="5"/>
      <c r="K81" s="7" t="s">
        <v>21</v>
      </c>
      <c r="L81" s="7" t="s">
        <v>21</v>
      </c>
      <c r="M81" s="7" t="s">
        <v>21</v>
      </c>
      <c r="N81" s="7" t="s">
        <v>21</v>
      </c>
      <c r="O81" s="7" t="s">
        <v>21</v>
      </c>
      <c r="P81" s="7" t="s">
        <v>21</v>
      </c>
      <c r="Q81" s="7" t="s">
        <v>21</v>
      </c>
      <c r="R81" s="7" t="s">
        <v>21</v>
      </c>
    </row>
    <row r="82" spans="1:18" x14ac:dyDescent="0.25">
      <c r="A82" s="2">
        <v>80</v>
      </c>
      <c r="B82" s="3" t="s">
        <v>121</v>
      </c>
      <c r="C82" s="4" t="s">
        <v>48</v>
      </c>
      <c r="D82" s="6">
        <v>85.58</v>
      </c>
      <c r="E82" s="5"/>
      <c r="F82" s="7" t="s">
        <v>24</v>
      </c>
      <c r="G82" s="33" t="s">
        <v>35</v>
      </c>
      <c r="H82" s="32" t="str">
        <f>VLOOKUP(G82,Codigo!$A$2:$B$46,2,FALSE)</f>
        <v>Gastos diversos</v>
      </c>
      <c r="I82" s="7" t="s">
        <v>73</v>
      </c>
      <c r="J82" s="5"/>
      <c r="K82" s="7" t="s">
        <v>49</v>
      </c>
      <c r="L82" s="7" t="s">
        <v>21</v>
      </c>
      <c r="M82" s="7" t="s">
        <v>21</v>
      </c>
      <c r="N82" s="7" t="s">
        <v>21</v>
      </c>
      <c r="O82" s="7" t="s">
        <v>21</v>
      </c>
      <c r="P82" s="7" t="s">
        <v>21</v>
      </c>
      <c r="Q82" s="7" t="s">
        <v>21</v>
      </c>
      <c r="R82" s="7" t="s">
        <v>21</v>
      </c>
    </row>
    <row r="83" spans="1:18" x14ac:dyDescent="0.25">
      <c r="A83" s="2">
        <v>81</v>
      </c>
      <c r="B83" s="3" t="s">
        <v>121</v>
      </c>
      <c r="C83" s="4" t="s">
        <v>122</v>
      </c>
      <c r="D83" s="6">
        <v>66.77</v>
      </c>
      <c r="E83" s="5"/>
      <c r="F83" s="7" t="s">
        <v>24</v>
      </c>
      <c r="G83" s="33" t="s">
        <v>54</v>
      </c>
      <c r="H83" s="32" t="str">
        <f>VLOOKUP(G83,Codigo!$A$2:$B$46,2,FALSE)</f>
        <v>Axudas de custo e locomoción</v>
      </c>
      <c r="I83" s="7" t="s">
        <v>73</v>
      </c>
      <c r="J83" s="5"/>
      <c r="K83" s="7" t="s">
        <v>21</v>
      </c>
      <c r="L83" s="7" t="s">
        <v>21</v>
      </c>
      <c r="M83" s="7" t="s">
        <v>21</v>
      </c>
      <c r="N83" s="7" t="s">
        <v>21</v>
      </c>
      <c r="O83" s="7" t="s">
        <v>21</v>
      </c>
      <c r="P83" s="7" t="s">
        <v>21</v>
      </c>
      <c r="Q83" s="7" t="s">
        <v>21</v>
      </c>
      <c r="R83" s="7" t="s">
        <v>21</v>
      </c>
    </row>
    <row r="84" spans="1:18" x14ac:dyDescent="0.25">
      <c r="A84" s="2">
        <v>82</v>
      </c>
      <c r="B84" s="3" t="s">
        <v>121</v>
      </c>
      <c r="C84" s="4" t="s">
        <v>123</v>
      </c>
      <c r="D84" s="6">
        <v>22.88</v>
      </c>
      <c r="E84" s="5"/>
      <c r="F84" s="7" t="s">
        <v>24</v>
      </c>
      <c r="G84" s="33" t="s">
        <v>54</v>
      </c>
      <c r="H84" s="32" t="str">
        <f>VLOOKUP(G84,Codigo!$A$2:$B$46,2,FALSE)</f>
        <v>Axudas de custo e locomoción</v>
      </c>
      <c r="I84" s="7" t="s">
        <v>73</v>
      </c>
      <c r="J84" s="5"/>
      <c r="K84" s="7" t="s">
        <v>21</v>
      </c>
      <c r="L84" s="7" t="s">
        <v>21</v>
      </c>
      <c r="M84" s="7" t="s">
        <v>21</v>
      </c>
      <c r="N84" s="7" t="s">
        <v>21</v>
      </c>
      <c r="O84" s="7" t="s">
        <v>21</v>
      </c>
      <c r="P84" s="7" t="s">
        <v>21</v>
      </c>
      <c r="Q84" s="7" t="s">
        <v>21</v>
      </c>
      <c r="R84" s="7" t="s">
        <v>21</v>
      </c>
    </row>
    <row r="85" spans="1:18" x14ac:dyDescent="0.25">
      <c r="A85" s="2">
        <v>83</v>
      </c>
      <c r="B85" s="3" t="s">
        <v>121</v>
      </c>
      <c r="C85" s="4" t="s">
        <v>124</v>
      </c>
      <c r="D85" s="6">
        <v>22.88</v>
      </c>
      <c r="E85" s="5"/>
      <c r="F85" s="7" t="s">
        <v>24</v>
      </c>
      <c r="G85" s="33" t="s">
        <v>54</v>
      </c>
      <c r="H85" s="32" t="str">
        <f>VLOOKUP(G85,Codigo!$A$2:$B$46,2,FALSE)</f>
        <v>Axudas de custo e locomoción</v>
      </c>
      <c r="I85" s="7" t="s">
        <v>73</v>
      </c>
      <c r="J85" s="5"/>
      <c r="K85" s="7" t="s">
        <v>21</v>
      </c>
      <c r="L85" s="7" t="s">
        <v>21</v>
      </c>
      <c r="M85" s="7" t="s">
        <v>21</v>
      </c>
      <c r="N85" s="7" t="s">
        <v>21</v>
      </c>
      <c r="O85" s="7" t="s">
        <v>21</v>
      </c>
      <c r="P85" s="7" t="s">
        <v>21</v>
      </c>
      <c r="Q85" s="7" t="s">
        <v>21</v>
      </c>
      <c r="R85" s="7" t="s">
        <v>21</v>
      </c>
    </row>
    <row r="86" spans="1:18" x14ac:dyDescent="0.25">
      <c r="A86" s="2">
        <v>84</v>
      </c>
      <c r="B86" s="3" t="s">
        <v>121</v>
      </c>
      <c r="C86" s="4" t="s">
        <v>125</v>
      </c>
      <c r="D86" s="6">
        <v>9.25</v>
      </c>
      <c r="E86" s="5"/>
      <c r="F86" s="7" t="s">
        <v>24</v>
      </c>
      <c r="G86" s="33" t="s">
        <v>43</v>
      </c>
      <c r="H86" s="32" t="str">
        <f>VLOOKUP(G86,Codigo!$A$2:$B$46,2,FALSE)</f>
        <v>Outras Subministracións</v>
      </c>
      <c r="I86" s="7" t="s">
        <v>73</v>
      </c>
      <c r="J86" s="5"/>
      <c r="K86" s="7" t="s">
        <v>21</v>
      </c>
      <c r="L86" s="7" t="s">
        <v>21</v>
      </c>
      <c r="M86" s="7" t="s">
        <v>21</v>
      </c>
      <c r="N86" s="7" t="s">
        <v>21</v>
      </c>
      <c r="O86" s="7" t="s">
        <v>21</v>
      </c>
      <c r="P86" s="7" t="s">
        <v>21</v>
      </c>
      <c r="Q86" s="7" t="s">
        <v>21</v>
      </c>
      <c r="R86" s="7" t="s">
        <v>21</v>
      </c>
    </row>
    <row r="87" spans="1:18" x14ac:dyDescent="0.25">
      <c r="A87" s="2">
        <v>85</v>
      </c>
      <c r="B87" s="3" t="s">
        <v>121</v>
      </c>
      <c r="C87" s="4" t="s">
        <v>126</v>
      </c>
      <c r="D87" s="6">
        <v>437.29</v>
      </c>
      <c r="E87" s="5"/>
      <c r="F87" s="7" t="s">
        <v>24</v>
      </c>
      <c r="G87" s="33" t="s">
        <v>35</v>
      </c>
      <c r="H87" s="32" t="str">
        <f>VLOOKUP(G87,Codigo!$A$2:$B$46,2,FALSE)</f>
        <v>Gastos diversos</v>
      </c>
      <c r="I87" s="7" t="s">
        <v>73</v>
      </c>
      <c r="J87" s="5"/>
      <c r="K87" s="7" t="s">
        <v>49</v>
      </c>
      <c r="L87" s="7" t="s">
        <v>21</v>
      </c>
      <c r="M87" s="7" t="s">
        <v>21</v>
      </c>
      <c r="N87" s="7" t="s">
        <v>21</v>
      </c>
      <c r="O87" s="7" t="s">
        <v>21</v>
      </c>
      <c r="P87" s="7" t="s">
        <v>21</v>
      </c>
      <c r="Q87" s="7" t="s">
        <v>21</v>
      </c>
      <c r="R87" s="7" t="s">
        <v>21</v>
      </c>
    </row>
    <row r="88" spans="1:18" x14ac:dyDescent="0.25">
      <c r="A88" s="2">
        <v>86</v>
      </c>
      <c r="B88" s="3" t="s">
        <v>121</v>
      </c>
      <c r="C88" s="4" t="s">
        <v>50</v>
      </c>
      <c r="D88" s="6">
        <v>107.82</v>
      </c>
      <c r="E88" s="5"/>
      <c r="F88" s="7" t="s">
        <v>24</v>
      </c>
      <c r="G88" s="33" t="s">
        <v>35</v>
      </c>
      <c r="H88" s="32" t="str">
        <f>VLOOKUP(G88,Codigo!$A$2:$B$46,2,FALSE)</f>
        <v>Gastos diversos</v>
      </c>
      <c r="I88" s="7" t="s">
        <v>73</v>
      </c>
      <c r="J88" s="5"/>
      <c r="K88" s="7" t="s">
        <v>49</v>
      </c>
      <c r="L88" s="7" t="s">
        <v>21</v>
      </c>
      <c r="M88" s="7" t="s">
        <v>21</v>
      </c>
      <c r="N88" s="7" t="s">
        <v>21</v>
      </c>
      <c r="O88" s="7" t="s">
        <v>21</v>
      </c>
      <c r="P88" s="7" t="s">
        <v>21</v>
      </c>
      <c r="Q88" s="7" t="s">
        <v>21</v>
      </c>
      <c r="R88" s="7" t="s">
        <v>21</v>
      </c>
    </row>
    <row r="89" spans="1:18" x14ac:dyDescent="0.25">
      <c r="A89" s="2">
        <v>87</v>
      </c>
      <c r="B89" s="3" t="s">
        <v>121</v>
      </c>
      <c r="C89" s="4" t="s">
        <v>127</v>
      </c>
      <c r="D89" s="6">
        <v>98</v>
      </c>
      <c r="E89" s="5"/>
      <c r="F89" s="7" t="s">
        <v>24</v>
      </c>
      <c r="G89" s="33" t="s">
        <v>35</v>
      </c>
      <c r="H89" s="32" t="str">
        <f>VLOOKUP(G89,Codigo!$A$2:$B$46,2,FALSE)</f>
        <v>Gastos diversos</v>
      </c>
      <c r="I89" s="7" t="s">
        <v>73</v>
      </c>
      <c r="J89" s="5"/>
      <c r="K89" s="7" t="s">
        <v>49</v>
      </c>
      <c r="L89" s="7" t="s">
        <v>21</v>
      </c>
      <c r="M89" s="7" t="s">
        <v>21</v>
      </c>
      <c r="N89" s="7" t="s">
        <v>21</v>
      </c>
      <c r="O89" s="7" t="s">
        <v>21</v>
      </c>
      <c r="P89" s="7" t="s">
        <v>21</v>
      </c>
      <c r="Q89" s="7" t="s">
        <v>21</v>
      </c>
      <c r="R89" s="7" t="s">
        <v>21</v>
      </c>
    </row>
    <row r="90" spans="1:18" x14ac:dyDescent="0.25">
      <c r="A90" s="2">
        <v>88</v>
      </c>
      <c r="B90" s="3" t="s">
        <v>128</v>
      </c>
      <c r="C90" s="4" t="s">
        <v>129</v>
      </c>
      <c r="D90" s="5"/>
      <c r="E90" s="6">
        <v>137</v>
      </c>
      <c r="F90" s="7" t="s">
        <v>20</v>
      </c>
      <c r="G90" s="33" t="s">
        <v>60</v>
      </c>
      <c r="H90" s="32" t="str">
        <f>VLOOKUP(G90,Codigo!$A$2:$B$46,2,FALSE)</f>
        <v>Dotacións legados e subvencións</v>
      </c>
      <c r="I90" s="7" t="s">
        <v>73</v>
      </c>
      <c r="J90" s="5"/>
      <c r="K90" s="7" t="s">
        <v>21</v>
      </c>
      <c r="L90" s="7" t="s">
        <v>21</v>
      </c>
      <c r="M90" s="7" t="s">
        <v>21</v>
      </c>
      <c r="N90" s="7" t="s">
        <v>21</v>
      </c>
      <c r="O90" s="7" t="s">
        <v>21</v>
      </c>
      <c r="P90" s="7" t="s">
        <v>21</v>
      </c>
      <c r="Q90" s="7" t="s">
        <v>21</v>
      </c>
      <c r="R90" s="7" t="s">
        <v>21</v>
      </c>
    </row>
    <row r="91" spans="1:18" x14ac:dyDescent="0.25">
      <c r="A91" s="2">
        <v>89</v>
      </c>
      <c r="B91" s="30">
        <v>45836</v>
      </c>
      <c r="C91" s="4" t="s">
        <v>34</v>
      </c>
      <c r="D91" s="26">
        <v>347.5</v>
      </c>
      <c r="E91" s="5"/>
      <c r="F91" s="7" t="s">
        <v>24</v>
      </c>
      <c r="G91" s="33" t="s">
        <v>35</v>
      </c>
      <c r="H91" s="32" t="str">
        <f>VLOOKUP(G91,Codigo!$A$2:$B$46,2,FALSE)</f>
        <v>Gastos diversos</v>
      </c>
      <c r="I91" s="7" t="s">
        <v>73</v>
      </c>
      <c r="J91" s="5"/>
      <c r="K91" s="7" t="s">
        <v>36</v>
      </c>
      <c r="L91" s="7" t="s">
        <v>38</v>
      </c>
      <c r="M91" s="7" t="s">
        <v>21</v>
      </c>
      <c r="N91" s="7" t="s">
        <v>21</v>
      </c>
      <c r="O91" s="7" t="s">
        <v>21</v>
      </c>
      <c r="P91" s="7" t="s">
        <v>21</v>
      </c>
      <c r="Q91" s="7" t="s">
        <v>21</v>
      </c>
      <c r="R91" s="7" t="s">
        <v>21</v>
      </c>
    </row>
    <row r="92" spans="1:18" x14ac:dyDescent="0.25">
      <c r="A92" s="2">
        <v>90</v>
      </c>
      <c r="B92" s="3" t="s">
        <v>128</v>
      </c>
      <c r="C92" s="4" t="s">
        <v>34</v>
      </c>
      <c r="D92" s="6">
        <v>310</v>
      </c>
      <c r="E92" s="5"/>
      <c r="F92" s="7" t="s">
        <v>24</v>
      </c>
      <c r="G92" s="33" t="s">
        <v>35</v>
      </c>
      <c r="H92" s="32" t="str">
        <f>VLOOKUP(G92,Codigo!$A$2:$B$46,2,FALSE)</f>
        <v>Gastos diversos</v>
      </c>
      <c r="I92" s="7" t="s">
        <v>73</v>
      </c>
      <c r="J92" s="5"/>
      <c r="K92" s="7" t="s">
        <v>36</v>
      </c>
      <c r="L92" s="7" t="s">
        <v>38</v>
      </c>
      <c r="M92" s="7" t="s">
        <v>21</v>
      </c>
      <c r="N92" s="7" t="s">
        <v>21</v>
      </c>
      <c r="O92" s="7" t="s">
        <v>21</v>
      </c>
      <c r="P92" s="7" t="s">
        <v>21</v>
      </c>
      <c r="Q92" s="7" t="s">
        <v>21</v>
      </c>
      <c r="R92" s="7" t="s">
        <v>21</v>
      </c>
    </row>
    <row r="93" spans="1:18" x14ac:dyDescent="0.25">
      <c r="A93" s="2">
        <v>91</v>
      </c>
      <c r="B93" s="30">
        <v>45836</v>
      </c>
      <c r="C93" s="4" t="s">
        <v>34</v>
      </c>
      <c r="D93" s="26">
        <v>148</v>
      </c>
      <c r="E93" s="5"/>
      <c r="F93" s="7" t="s">
        <v>24</v>
      </c>
      <c r="G93" s="33" t="s">
        <v>35</v>
      </c>
      <c r="H93" s="32" t="str">
        <f>VLOOKUP(G93,Codigo!$A$2:$B$46,2,FALSE)</f>
        <v>Gastos diversos</v>
      </c>
      <c r="I93" s="7" t="s">
        <v>73</v>
      </c>
      <c r="J93" s="5"/>
      <c r="K93" s="7" t="s">
        <v>36</v>
      </c>
      <c r="L93" s="7" t="s">
        <v>37</v>
      </c>
      <c r="M93" s="7" t="s">
        <v>21</v>
      </c>
      <c r="N93" s="7" t="s">
        <v>21</v>
      </c>
      <c r="O93" s="7" t="s">
        <v>21</v>
      </c>
      <c r="P93" s="7" t="s">
        <v>21</v>
      </c>
      <c r="Q93" s="7" t="s">
        <v>21</v>
      </c>
      <c r="R93" s="7" t="s">
        <v>21</v>
      </c>
    </row>
    <row r="94" spans="1:18" x14ac:dyDescent="0.25">
      <c r="A94" s="2">
        <v>92</v>
      </c>
      <c r="B94" s="3" t="s">
        <v>128</v>
      </c>
      <c r="C94" s="4" t="s">
        <v>34</v>
      </c>
      <c r="D94" s="6">
        <v>314.5</v>
      </c>
      <c r="E94" s="5"/>
      <c r="F94" s="7" t="s">
        <v>24</v>
      </c>
      <c r="G94" s="33" t="s">
        <v>35</v>
      </c>
      <c r="H94" s="32" t="str">
        <f>VLOOKUP(G94,Codigo!$A$2:$B$46,2,FALSE)</f>
        <v>Gastos diversos</v>
      </c>
      <c r="I94" s="7" t="s">
        <v>73</v>
      </c>
      <c r="J94" s="5"/>
      <c r="K94" s="7" t="s">
        <v>36</v>
      </c>
      <c r="L94" s="7" t="s">
        <v>37</v>
      </c>
      <c r="M94" s="7" t="s">
        <v>21</v>
      </c>
      <c r="N94" s="7" t="s">
        <v>21</v>
      </c>
      <c r="O94" s="7" t="s">
        <v>21</v>
      </c>
      <c r="P94" s="7" t="s">
        <v>21</v>
      </c>
      <c r="Q94" s="7" t="s">
        <v>21</v>
      </c>
      <c r="R94" s="7" t="s">
        <v>21</v>
      </c>
    </row>
    <row r="95" spans="1:18" x14ac:dyDescent="0.25">
      <c r="A95" s="2">
        <v>93</v>
      </c>
      <c r="B95" s="3" t="s">
        <v>128</v>
      </c>
      <c r="C95" s="4" t="s">
        <v>130</v>
      </c>
      <c r="D95" s="6">
        <v>557.5</v>
      </c>
      <c r="E95" s="5"/>
      <c r="F95" s="7" t="s">
        <v>24</v>
      </c>
      <c r="G95" s="33" t="s">
        <v>35</v>
      </c>
      <c r="H95" s="32" t="str">
        <f>VLOOKUP(G95,Codigo!$A$2:$B$46,2,FALSE)</f>
        <v>Gastos diversos</v>
      </c>
      <c r="I95" s="7" t="s">
        <v>73</v>
      </c>
      <c r="J95" s="5"/>
      <c r="K95" s="7" t="s">
        <v>36</v>
      </c>
      <c r="L95" s="7" t="s">
        <v>37</v>
      </c>
      <c r="M95" s="7" t="s">
        <v>21</v>
      </c>
      <c r="N95" s="7" t="s">
        <v>21</v>
      </c>
      <c r="O95" s="7" t="s">
        <v>21</v>
      </c>
      <c r="P95" s="7" t="s">
        <v>21</v>
      </c>
      <c r="Q95" s="7" t="s">
        <v>21</v>
      </c>
      <c r="R95" s="7" t="s">
        <v>21</v>
      </c>
    </row>
    <row r="96" spans="1:18" x14ac:dyDescent="0.25">
      <c r="A96" s="2">
        <v>94</v>
      </c>
      <c r="B96" s="3" t="s">
        <v>128</v>
      </c>
      <c r="C96" s="4" t="s">
        <v>130</v>
      </c>
      <c r="D96" s="6">
        <v>1115</v>
      </c>
      <c r="E96" s="5"/>
      <c r="F96" s="7" t="s">
        <v>24</v>
      </c>
      <c r="G96" s="33" t="s">
        <v>35</v>
      </c>
      <c r="H96" s="32" t="str">
        <f>VLOOKUP(G96,Codigo!$A$2:$B$46,2,FALSE)</f>
        <v>Gastos diversos</v>
      </c>
      <c r="I96" s="7" t="s">
        <v>73</v>
      </c>
      <c r="J96" s="5"/>
      <c r="K96" s="7" t="s">
        <v>36</v>
      </c>
      <c r="L96" s="7" t="s">
        <v>131</v>
      </c>
      <c r="M96" s="7" t="s">
        <v>21</v>
      </c>
      <c r="N96" s="7" t="s">
        <v>21</v>
      </c>
      <c r="O96" s="7" t="s">
        <v>21</v>
      </c>
      <c r="P96" s="7" t="s">
        <v>21</v>
      </c>
      <c r="Q96" s="7" t="s">
        <v>21</v>
      </c>
      <c r="R96" s="7" t="s">
        <v>21</v>
      </c>
    </row>
    <row r="97" spans="1:18" x14ac:dyDescent="0.25">
      <c r="A97" s="2">
        <v>95</v>
      </c>
      <c r="B97" s="3" t="s">
        <v>128</v>
      </c>
      <c r="C97" s="4" t="s">
        <v>132</v>
      </c>
      <c r="D97" s="6">
        <v>15.96</v>
      </c>
      <c r="E97" s="5"/>
      <c r="F97" s="7" t="s">
        <v>24</v>
      </c>
      <c r="G97" s="33" t="s">
        <v>35</v>
      </c>
      <c r="H97" s="32" t="str">
        <f>VLOOKUP(G97,Codigo!$A$2:$B$46,2,FALSE)</f>
        <v>Gastos diversos</v>
      </c>
      <c r="I97" s="7" t="s">
        <v>73</v>
      </c>
      <c r="J97" s="5"/>
      <c r="K97" s="7" t="s">
        <v>21</v>
      </c>
      <c r="L97" s="7" t="s">
        <v>21</v>
      </c>
      <c r="M97" s="7" t="s">
        <v>21</v>
      </c>
      <c r="N97" s="7" t="s">
        <v>21</v>
      </c>
      <c r="O97" s="7" t="s">
        <v>21</v>
      </c>
      <c r="P97" s="7" t="s">
        <v>21</v>
      </c>
      <c r="Q97" s="7" t="s">
        <v>21</v>
      </c>
      <c r="R97" s="7" t="s">
        <v>21</v>
      </c>
    </row>
    <row r="98" spans="1:18" x14ac:dyDescent="0.25">
      <c r="A98" s="2">
        <v>96</v>
      </c>
      <c r="B98" s="3" t="s">
        <v>133</v>
      </c>
      <c r="C98" s="4" t="s">
        <v>75</v>
      </c>
      <c r="D98" s="5"/>
      <c r="E98" s="6">
        <v>6486</v>
      </c>
      <c r="F98" s="7" t="s">
        <v>20</v>
      </c>
      <c r="G98" s="33" t="s">
        <v>76</v>
      </c>
      <c r="H98" s="32" t="str">
        <f>VLOOKUP(G98,Codigo!$A$2:$B$46,2,FALSE)</f>
        <v>Gastos de funcionamento</v>
      </c>
      <c r="I98" s="7" t="s">
        <v>73</v>
      </c>
      <c r="J98" s="5"/>
      <c r="K98" s="7" t="s">
        <v>21</v>
      </c>
      <c r="L98" s="7" t="s">
        <v>21</v>
      </c>
      <c r="M98" s="7" t="s">
        <v>21</v>
      </c>
      <c r="N98" s="7" t="s">
        <v>21</v>
      </c>
      <c r="O98" s="7" t="s">
        <v>21</v>
      </c>
      <c r="P98" s="7" t="s">
        <v>21</v>
      </c>
      <c r="Q98" s="7" t="s">
        <v>21</v>
      </c>
      <c r="R98" s="7" t="s">
        <v>21</v>
      </c>
    </row>
    <row r="99" spans="1:18" x14ac:dyDescent="0.25">
      <c r="A99" s="2">
        <v>97</v>
      </c>
      <c r="B99" s="3" t="s">
        <v>134</v>
      </c>
      <c r="C99" s="4" t="s">
        <v>135</v>
      </c>
      <c r="D99" s="6">
        <v>85</v>
      </c>
      <c r="E99" s="5"/>
      <c r="F99" s="7" t="s">
        <v>24</v>
      </c>
      <c r="G99" s="33" t="s">
        <v>35</v>
      </c>
      <c r="H99" s="32" t="str">
        <f>VLOOKUP(G99,Codigo!$A$2:$B$46,2,FALSE)</f>
        <v>Gastos diversos</v>
      </c>
      <c r="I99" s="7" t="s">
        <v>73</v>
      </c>
      <c r="J99" s="5"/>
      <c r="K99" s="7" t="s">
        <v>105</v>
      </c>
      <c r="L99" s="7" t="s">
        <v>21</v>
      </c>
      <c r="M99" s="7" t="s">
        <v>21</v>
      </c>
      <c r="N99" s="7" t="s">
        <v>21</v>
      </c>
      <c r="O99" s="7" t="s">
        <v>21</v>
      </c>
      <c r="P99" s="7" t="s">
        <v>21</v>
      </c>
      <c r="Q99" s="7" t="s">
        <v>21</v>
      </c>
      <c r="R99" s="7" t="s">
        <v>21</v>
      </c>
    </row>
    <row r="100" spans="1:18" x14ac:dyDescent="0.25">
      <c r="A100" s="2">
        <v>98</v>
      </c>
      <c r="B100" s="3" t="s">
        <v>134</v>
      </c>
      <c r="C100" s="4" t="s">
        <v>135</v>
      </c>
      <c r="D100" s="6">
        <v>850</v>
      </c>
      <c r="E100" s="5"/>
      <c r="F100" s="7" t="s">
        <v>24</v>
      </c>
      <c r="G100" s="33" t="s">
        <v>35</v>
      </c>
      <c r="H100" s="32" t="str">
        <f>VLOOKUP(G100,Codigo!$A$2:$B$46,2,FALSE)</f>
        <v>Gastos diversos</v>
      </c>
      <c r="I100" s="7" t="s">
        <v>73</v>
      </c>
      <c r="J100" s="5"/>
      <c r="K100" s="7" t="s">
        <v>105</v>
      </c>
      <c r="L100" s="7" t="s">
        <v>21</v>
      </c>
      <c r="M100" s="7" t="s">
        <v>21</v>
      </c>
      <c r="N100" s="7" t="s">
        <v>21</v>
      </c>
      <c r="O100" s="7" t="s">
        <v>21</v>
      </c>
      <c r="P100" s="7" t="s">
        <v>21</v>
      </c>
      <c r="Q100" s="7" t="s">
        <v>21</v>
      </c>
      <c r="R100" s="7" t="s">
        <v>21</v>
      </c>
    </row>
    <row r="101" spans="1:18" x14ac:dyDescent="0.25">
      <c r="A101" s="2">
        <v>99</v>
      </c>
      <c r="B101" s="3" t="s">
        <v>134</v>
      </c>
      <c r="C101" s="4" t="s">
        <v>136</v>
      </c>
      <c r="D101" s="6">
        <v>913</v>
      </c>
      <c r="E101" s="5"/>
      <c r="F101" s="7" t="s">
        <v>24</v>
      </c>
      <c r="G101" s="33" t="s">
        <v>35</v>
      </c>
      <c r="H101" s="32" t="str">
        <f>VLOOKUP(G101,Codigo!$A$2:$B$46,2,FALSE)</f>
        <v>Gastos diversos</v>
      </c>
      <c r="I101" s="7" t="s">
        <v>73</v>
      </c>
      <c r="J101" s="5"/>
      <c r="K101" s="7" t="s">
        <v>21</v>
      </c>
      <c r="L101" s="7" t="s">
        <v>137</v>
      </c>
      <c r="M101" s="7" t="s">
        <v>21</v>
      </c>
      <c r="N101" s="7" t="s">
        <v>21</v>
      </c>
      <c r="O101" s="7" t="s">
        <v>21</v>
      </c>
      <c r="P101" s="7" t="s">
        <v>21</v>
      </c>
      <c r="Q101" s="7" t="s">
        <v>21</v>
      </c>
      <c r="R101" s="7" t="s">
        <v>21</v>
      </c>
    </row>
    <row r="102" spans="1:18" x14ac:dyDescent="0.25">
      <c r="A102" s="2">
        <v>100</v>
      </c>
      <c r="B102" s="3" t="s">
        <v>134</v>
      </c>
      <c r="C102" s="4" t="s">
        <v>46</v>
      </c>
      <c r="D102" s="6">
        <v>316.16000000000003</v>
      </c>
      <c r="E102" s="5"/>
      <c r="F102" s="7" t="s">
        <v>24</v>
      </c>
      <c r="G102" s="33" t="s">
        <v>35</v>
      </c>
      <c r="H102" s="32" t="str">
        <f>VLOOKUP(G102,Codigo!$A$2:$B$46,2,FALSE)</f>
        <v>Gastos diversos</v>
      </c>
      <c r="I102" s="7" t="s">
        <v>73</v>
      </c>
      <c r="J102" s="5"/>
      <c r="K102" s="7" t="s">
        <v>21</v>
      </c>
      <c r="L102" s="7" t="s">
        <v>21</v>
      </c>
      <c r="M102" s="7" t="s">
        <v>21</v>
      </c>
      <c r="N102" s="7" t="s">
        <v>21</v>
      </c>
      <c r="O102" s="7" t="s">
        <v>21</v>
      </c>
      <c r="P102" s="7" t="s">
        <v>21</v>
      </c>
      <c r="Q102" s="7" t="s">
        <v>21</v>
      </c>
      <c r="R102" s="7" t="s">
        <v>21</v>
      </c>
    </row>
    <row r="103" spans="1:18" x14ac:dyDescent="0.25">
      <c r="A103" s="2">
        <v>101</v>
      </c>
      <c r="B103" s="3" t="s">
        <v>134</v>
      </c>
      <c r="C103" s="4" t="s">
        <v>48</v>
      </c>
      <c r="D103" s="6">
        <v>11.18</v>
      </c>
      <c r="E103" s="5"/>
      <c r="F103" s="7" t="s">
        <v>24</v>
      </c>
      <c r="G103" s="33" t="s">
        <v>35</v>
      </c>
      <c r="H103" s="32" t="str">
        <f>VLOOKUP(G103,Codigo!$A$2:$B$46,2,FALSE)</f>
        <v>Gastos diversos</v>
      </c>
      <c r="I103" s="7" t="s">
        <v>73</v>
      </c>
      <c r="J103" s="5"/>
      <c r="K103" s="7" t="s">
        <v>49</v>
      </c>
      <c r="L103" s="7" t="s">
        <v>21</v>
      </c>
      <c r="M103" s="7" t="s">
        <v>21</v>
      </c>
      <c r="N103" s="7" t="s">
        <v>21</v>
      </c>
      <c r="O103" s="7" t="s">
        <v>21</v>
      </c>
      <c r="P103" s="7" t="s">
        <v>21</v>
      </c>
      <c r="Q103" s="7" t="s">
        <v>21</v>
      </c>
      <c r="R103" s="7" t="s">
        <v>21</v>
      </c>
    </row>
    <row r="104" spans="1:18" x14ac:dyDescent="0.25">
      <c r="A104" s="2">
        <v>102</v>
      </c>
      <c r="B104" s="3" t="s">
        <v>134</v>
      </c>
      <c r="C104" s="4" t="s">
        <v>138</v>
      </c>
      <c r="D104" s="6">
        <v>1009.75</v>
      </c>
      <c r="E104" s="5"/>
      <c r="F104" s="7" t="s">
        <v>24</v>
      </c>
      <c r="G104" s="33" t="s">
        <v>35</v>
      </c>
      <c r="H104" s="32" t="str">
        <f>VLOOKUP(G104,Codigo!$A$2:$B$46,2,FALSE)</f>
        <v>Gastos diversos</v>
      </c>
      <c r="I104" s="7" t="s">
        <v>73</v>
      </c>
      <c r="J104" s="5"/>
      <c r="K104" s="7" t="s">
        <v>49</v>
      </c>
      <c r="L104" s="7" t="s">
        <v>21</v>
      </c>
      <c r="M104" s="7" t="s">
        <v>21</v>
      </c>
      <c r="N104" s="7" t="s">
        <v>21</v>
      </c>
      <c r="O104" s="7" t="s">
        <v>21</v>
      </c>
      <c r="P104" s="7" t="s">
        <v>21</v>
      </c>
      <c r="Q104" s="7" t="s">
        <v>21</v>
      </c>
      <c r="R104" s="7" t="s">
        <v>21</v>
      </c>
    </row>
    <row r="105" spans="1:18" x14ac:dyDescent="0.25">
      <c r="A105" s="2">
        <v>103</v>
      </c>
      <c r="B105" s="3" t="s">
        <v>134</v>
      </c>
      <c r="C105" s="4" t="s">
        <v>139</v>
      </c>
      <c r="D105" s="6">
        <v>560</v>
      </c>
      <c r="E105" s="5"/>
      <c r="F105" s="7" t="s">
        <v>24</v>
      </c>
      <c r="G105" s="33" t="s">
        <v>35</v>
      </c>
      <c r="H105" s="32" t="str">
        <f>VLOOKUP(G105,Codigo!$A$2:$B$46,2,FALSE)</f>
        <v>Gastos diversos</v>
      </c>
      <c r="I105" s="7" t="s">
        <v>73</v>
      </c>
      <c r="J105" s="5"/>
      <c r="K105" s="7" t="s">
        <v>21</v>
      </c>
      <c r="L105" s="7" t="s">
        <v>21</v>
      </c>
      <c r="M105" s="7" t="s">
        <v>21</v>
      </c>
      <c r="N105" s="7" t="s">
        <v>21</v>
      </c>
      <c r="O105" s="7" t="s">
        <v>21</v>
      </c>
      <c r="P105" s="7" t="s">
        <v>21</v>
      </c>
      <c r="Q105" s="7" t="s">
        <v>21</v>
      </c>
      <c r="R105" s="7" t="s">
        <v>21</v>
      </c>
    </row>
    <row r="106" spans="1:18" x14ac:dyDescent="0.25">
      <c r="A106" s="2">
        <v>104</v>
      </c>
      <c r="B106" s="3" t="s">
        <v>134</v>
      </c>
      <c r="C106" s="4" t="s">
        <v>140</v>
      </c>
      <c r="D106" s="6">
        <v>264</v>
      </c>
      <c r="E106" s="5"/>
      <c r="F106" s="7" t="s">
        <v>24</v>
      </c>
      <c r="G106" s="33" t="s">
        <v>35</v>
      </c>
      <c r="H106" s="32" t="str">
        <f>VLOOKUP(G106,Codigo!$A$2:$B$46,2,FALSE)</f>
        <v>Gastos diversos</v>
      </c>
      <c r="I106" s="7" t="s">
        <v>73</v>
      </c>
      <c r="J106" s="5"/>
      <c r="K106" s="7" t="s">
        <v>21</v>
      </c>
      <c r="L106" s="7" t="s">
        <v>21</v>
      </c>
      <c r="M106" s="7" t="s">
        <v>21</v>
      </c>
      <c r="N106" s="7" t="s">
        <v>21</v>
      </c>
      <c r="O106" s="7" t="s">
        <v>21</v>
      </c>
      <c r="P106" s="7" t="s">
        <v>21</v>
      </c>
      <c r="Q106" s="7" t="s">
        <v>21</v>
      </c>
      <c r="R106" s="7" t="s">
        <v>21</v>
      </c>
    </row>
    <row r="107" spans="1:18" x14ac:dyDescent="0.25">
      <c r="A107" s="2">
        <v>105</v>
      </c>
      <c r="B107" s="3" t="s">
        <v>141</v>
      </c>
      <c r="C107" s="4" t="s">
        <v>142</v>
      </c>
      <c r="D107" s="6">
        <v>1881</v>
      </c>
      <c r="E107" s="5"/>
      <c r="F107" s="7" t="s">
        <v>24</v>
      </c>
      <c r="G107" s="33" t="s">
        <v>54</v>
      </c>
      <c r="H107" s="32" t="str">
        <f>VLOOKUP(G107,Codigo!$A$2:$B$46,2,FALSE)</f>
        <v>Axudas de custo e locomoción</v>
      </c>
      <c r="I107" s="7" t="s">
        <v>73</v>
      </c>
      <c r="J107" s="5"/>
      <c r="K107" s="7" t="s">
        <v>21</v>
      </c>
      <c r="L107" s="7" t="s">
        <v>21</v>
      </c>
      <c r="M107" s="7" t="s">
        <v>21</v>
      </c>
      <c r="N107" s="7" t="s">
        <v>21</v>
      </c>
      <c r="O107" s="7" t="s">
        <v>21</v>
      </c>
      <c r="P107" s="7" t="s">
        <v>21</v>
      </c>
      <c r="Q107" s="7" t="s">
        <v>21</v>
      </c>
      <c r="R107" s="7" t="s">
        <v>21</v>
      </c>
    </row>
    <row r="108" spans="1:18" x14ac:dyDescent="0.25">
      <c r="A108" s="2">
        <v>106</v>
      </c>
      <c r="B108" s="3" t="s">
        <v>143</v>
      </c>
      <c r="C108" s="4" t="s">
        <v>144</v>
      </c>
      <c r="D108" s="6">
        <v>20</v>
      </c>
      <c r="E108" s="5"/>
      <c r="F108" s="7" t="s">
        <v>24</v>
      </c>
      <c r="G108" s="33" t="s">
        <v>35</v>
      </c>
      <c r="H108" s="32" t="str">
        <f>VLOOKUP(G108,Codigo!$A$2:$B$46,2,FALSE)</f>
        <v>Gastos diversos</v>
      </c>
      <c r="I108" s="7" t="s">
        <v>73</v>
      </c>
      <c r="J108" s="5"/>
      <c r="K108" s="7" t="s">
        <v>21</v>
      </c>
      <c r="L108" s="7" t="s">
        <v>21</v>
      </c>
      <c r="M108" s="7" t="s">
        <v>21</v>
      </c>
      <c r="N108" s="7" t="s">
        <v>21</v>
      </c>
      <c r="O108" s="7" t="s">
        <v>21</v>
      </c>
      <c r="P108" s="7" t="s">
        <v>21</v>
      </c>
      <c r="Q108" s="7" t="s">
        <v>21</v>
      </c>
      <c r="R108" s="7" t="s">
        <v>21</v>
      </c>
    </row>
    <row r="109" spans="1:18" x14ac:dyDescent="0.25">
      <c r="A109" s="2">
        <v>107</v>
      </c>
      <c r="B109" s="3" t="s">
        <v>143</v>
      </c>
      <c r="C109" s="4" t="s">
        <v>44</v>
      </c>
      <c r="D109" s="6">
        <v>38.24</v>
      </c>
      <c r="E109" s="5"/>
      <c r="F109" s="7" t="s">
        <v>24</v>
      </c>
      <c r="G109" s="33" t="s">
        <v>45</v>
      </c>
      <c r="H109" s="32" t="str">
        <f>VLOOKUP(G109,Codigo!$A$2:$B$46,2,FALSE)</f>
        <v>Material de oficina</v>
      </c>
      <c r="I109" s="7" t="s">
        <v>26</v>
      </c>
      <c r="J109" s="5"/>
      <c r="K109" s="7" t="s">
        <v>21</v>
      </c>
      <c r="L109" s="7" t="s">
        <v>21</v>
      </c>
      <c r="M109" s="7" t="s">
        <v>21</v>
      </c>
      <c r="N109" s="7" t="s">
        <v>21</v>
      </c>
      <c r="O109" s="7" t="s">
        <v>21</v>
      </c>
      <c r="P109" s="7" t="s">
        <v>21</v>
      </c>
      <c r="Q109" s="7" t="s">
        <v>21</v>
      </c>
      <c r="R109" s="7" t="s">
        <v>21</v>
      </c>
    </row>
    <row r="110" spans="1:18" x14ac:dyDescent="0.25">
      <c r="A110" s="2">
        <v>108</v>
      </c>
      <c r="B110" s="3" t="s">
        <v>143</v>
      </c>
      <c r="C110" s="4" t="s">
        <v>44</v>
      </c>
      <c r="D110" s="6">
        <v>22.99</v>
      </c>
      <c r="E110" s="5"/>
      <c r="F110" s="7" t="s">
        <v>24</v>
      </c>
      <c r="G110" s="33" t="s">
        <v>45</v>
      </c>
      <c r="H110" s="32" t="str">
        <f>VLOOKUP(G110,Codigo!$A$2:$B$46,2,FALSE)</f>
        <v>Material de oficina</v>
      </c>
      <c r="I110" s="7" t="s">
        <v>26</v>
      </c>
      <c r="J110" s="5"/>
      <c r="K110" s="7" t="s">
        <v>21</v>
      </c>
      <c r="L110" s="7" t="s">
        <v>21</v>
      </c>
      <c r="M110" s="7" t="s">
        <v>21</v>
      </c>
      <c r="N110" s="7" t="s">
        <v>21</v>
      </c>
      <c r="O110" s="7" t="s">
        <v>21</v>
      </c>
      <c r="P110" s="7" t="s">
        <v>21</v>
      </c>
      <c r="Q110" s="7" t="s">
        <v>21</v>
      </c>
      <c r="R110" s="7" t="s">
        <v>21</v>
      </c>
    </row>
    <row r="111" spans="1:18" x14ac:dyDescent="0.25">
      <c r="A111" s="2">
        <v>109</v>
      </c>
      <c r="B111" s="3" t="s">
        <v>145</v>
      </c>
      <c r="C111" s="4" t="s">
        <v>146</v>
      </c>
      <c r="D111" s="6">
        <v>17.16</v>
      </c>
      <c r="E111" s="5"/>
      <c r="F111" s="7" t="s">
        <v>24</v>
      </c>
      <c r="G111" s="33" t="s">
        <v>54</v>
      </c>
      <c r="H111" s="32" t="str">
        <f>VLOOKUP(G111,Codigo!$A$2:$B$46,2,FALSE)</f>
        <v>Axudas de custo e locomoción</v>
      </c>
      <c r="I111" s="7" t="s">
        <v>73</v>
      </c>
      <c r="J111" s="5"/>
      <c r="K111" s="7" t="s">
        <v>21</v>
      </c>
      <c r="L111" s="7" t="s">
        <v>21</v>
      </c>
      <c r="M111" s="7" t="s">
        <v>21</v>
      </c>
      <c r="N111" s="7" t="s">
        <v>21</v>
      </c>
      <c r="O111" s="7" t="s">
        <v>21</v>
      </c>
      <c r="P111" s="7" t="s">
        <v>21</v>
      </c>
      <c r="Q111" s="7" t="s">
        <v>21</v>
      </c>
      <c r="R111" s="7" t="s">
        <v>21</v>
      </c>
    </row>
    <row r="112" spans="1:18" x14ac:dyDescent="0.25">
      <c r="A112" s="2">
        <v>110</v>
      </c>
      <c r="B112" s="3" t="s">
        <v>145</v>
      </c>
      <c r="C112" s="4" t="s">
        <v>147</v>
      </c>
      <c r="D112" s="6">
        <v>17.16</v>
      </c>
      <c r="E112" s="5"/>
      <c r="F112" s="7" t="s">
        <v>24</v>
      </c>
      <c r="G112" s="33" t="s">
        <v>54</v>
      </c>
      <c r="H112" s="32" t="str">
        <f>VLOOKUP(G112,Codigo!$A$2:$B$46,2,FALSE)</f>
        <v>Axudas de custo e locomoción</v>
      </c>
      <c r="I112" s="7" t="s">
        <v>73</v>
      </c>
      <c r="J112" s="5"/>
      <c r="K112" s="7" t="s">
        <v>21</v>
      </c>
      <c r="L112" s="7" t="s">
        <v>21</v>
      </c>
      <c r="M112" s="7" t="s">
        <v>21</v>
      </c>
      <c r="N112" s="7" t="s">
        <v>21</v>
      </c>
      <c r="O112" s="7" t="s">
        <v>21</v>
      </c>
      <c r="P112" s="7" t="s">
        <v>21</v>
      </c>
      <c r="Q112" s="7" t="s">
        <v>21</v>
      </c>
      <c r="R112" s="7" t="s">
        <v>21</v>
      </c>
    </row>
    <row r="113" spans="1:18" x14ac:dyDescent="0.25">
      <c r="A113" s="23">
        <v>111</v>
      </c>
      <c r="B113" s="24">
        <v>45849</v>
      </c>
      <c r="C113" s="25" t="s">
        <v>279</v>
      </c>
      <c r="D113" s="26">
        <v>76.540000000000006</v>
      </c>
      <c r="F113" s="27" t="s">
        <v>24</v>
      </c>
      <c r="G113" s="34" t="s">
        <v>29</v>
      </c>
      <c r="H113" s="32" t="str">
        <f>VLOOKUP(G113,Codigo!$A$2:$B$46,2,FALSE)</f>
        <v>Reparacións</v>
      </c>
      <c r="I113" s="27" t="s">
        <v>229</v>
      </c>
    </row>
    <row r="114" spans="1:18" x14ac:dyDescent="0.25">
      <c r="A114" s="23">
        <v>112</v>
      </c>
      <c r="B114" s="28">
        <v>45849</v>
      </c>
      <c r="C114" s="25" t="s">
        <v>230</v>
      </c>
      <c r="D114" s="26">
        <v>577.16999999999996</v>
      </c>
      <c r="F114" s="27" t="s">
        <v>24</v>
      </c>
      <c r="G114" s="34" t="s">
        <v>25</v>
      </c>
      <c r="H114" s="32" t="str">
        <f>VLOOKUP(G114,Codigo!$A$2:$B$46,2,FALSE)</f>
        <v>Arredamientos</v>
      </c>
      <c r="I114" s="27" t="s">
        <v>229</v>
      </c>
    </row>
    <row r="115" spans="1:18" x14ac:dyDescent="0.25">
      <c r="A115" s="23">
        <v>113</v>
      </c>
      <c r="B115" s="28">
        <v>45849</v>
      </c>
      <c r="C115" s="29" t="s">
        <v>120</v>
      </c>
      <c r="D115" s="26">
        <v>287.24</v>
      </c>
      <c r="F115" s="27" t="s">
        <v>24</v>
      </c>
      <c r="G115" s="34" t="s">
        <v>25</v>
      </c>
      <c r="H115" s="32" t="str">
        <f>VLOOKUP(G115,Codigo!$A$2:$B$46,2,FALSE)</f>
        <v>Arredamientos</v>
      </c>
      <c r="I115" s="27" t="s">
        <v>229</v>
      </c>
    </row>
    <row r="116" spans="1:18" x14ac:dyDescent="0.25">
      <c r="A116" s="2">
        <v>114</v>
      </c>
      <c r="B116" s="30">
        <v>45860</v>
      </c>
      <c r="C116" s="4" t="s">
        <v>231</v>
      </c>
      <c r="D116" s="6">
        <v>165</v>
      </c>
      <c r="E116" s="5"/>
      <c r="F116" s="27" t="s">
        <v>24</v>
      </c>
      <c r="G116" s="33" t="s">
        <v>35</v>
      </c>
      <c r="H116" s="32" t="str">
        <f>VLOOKUP(G116,Codigo!$A$2:$B$46,2,FALSE)</f>
        <v>Gastos diversos</v>
      </c>
      <c r="I116" s="7" t="s">
        <v>229</v>
      </c>
      <c r="J116" s="5"/>
      <c r="K116" s="7" t="s">
        <v>105</v>
      </c>
      <c r="L116" s="7" t="s">
        <v>21</v>
      </c>
      <c r="M116" s="7" t="s">
        <v>21</v>
      </c>
      <c r="N116" s="7" t="s">
        <v>21</v>
      </c>
      <c r="O116" s="7" t="s">
        <v>21</v>
      </c>
      <c r="P116" s="7" t="s">
        <v>21</v>
      </c>
      <c r="Q116" s="7" t="s">
        <v>21</v>
      </c>
      <c r="R116" s="7" t="s">
        <v>21</v>
      </c>
    </row>
    <row r="117" spans="1:18" ht="15" customHeight="1" x14ac:dyDescent="0.25">
      <c r="A117" s="23">
        <v>115</v>
      </c>
      <c r="B117" s="28">
        <v>45862</v>
      </c>
      <c r="C117" s="25" t="s">
        <v>47</v>
      </c>
      <c r="D117" s="26">
        <v>768.85</v>
      </c>
      <c r="F117" s="27" t="s">
        <v>24</v>
      </c>
      <c r="G117" s="33" t="s">
        <v>43</v>
      </c>
      <c r="H117" s="32" t="str">
        <f>VLOOKUP(G117,Codigo!$A$2:$B$46,2,FALSE)</f>
        <v>Outras Subministracións</v>
      </c>
      <c r="I117" s="27" t="s">
        <v>229</v>
      </c>
    </row>
    <row r="118" spans="1:18" ht="15" customHeight="1" x14ac:dyDescent="0.25">
      <c r="A118" s="23">
        <v>116</v>
      </c>
      <c r="B118" s="28">
        <v>45862</v>
      </c>
      <c r="C118" s="25" t="s">
        <v>233</v>
      </c>
      <c r="D118" s="26">
        <v>45.5</v>
      </c>
      <c r="F118" s="27" t="s">
        <v>24</v>
      </c>
      <c r="G118" s="33" t="s">
        <v>35</v>
      </c>
      <c r="H118" s="32" t="str">
        <f>VLOOKUP(G118,Codigo!$A$2:$B$46,2,FALSE)</f>
        <v>Gastos diversos</v>
      </c>
      <c r="I118" s="27" t="s">
        <v>229</v>
      </c>
    </row>
    <row r="119" spans="1:18" ht="15" customHeight="1" x14ac:dyDescent="0.25">
      <c r="A119" s="23">
        <v>117</v>
      </c>
      <c r="B119" s="28">
        <v>45897</v>
      </c>
      <c r="C119" s="25" t="s">
        <v>279</v>
      </c>
      <c r="D119" s="26">
        <v>76.540000000000006</v>
      </c>
      <c r="F119" s="27" t="s">
        <v>24</v>
      </c>
      <c r="G119" s="33" t="s">
        <v>29</v>
      </c>
      <c r="H119" s="32" t="str">
        <f>VLOOKUP(G119,Codigo!$A$2:$B$46,2,FALSE)</f>
        <v>Reparacións</v>
      </c>
      <c r="I119" s="27" t="s">
        <v>229</v>
      </c>
    </row>
    <row r="120" spans="1:18" ht="15" customHeight="1" x14ac:dyDescent="0.25">
      <c r="A120" s="23">
        <v>118</v>
      </c>
      <c r="B120" s="28">
        <v>45897</v>
      </c>
      <c r="C120" s="25" t="s">
        <v>126</v>
      </c>
      <c r="D120" s="26">
        <v>4801.2700000000004</v>
      </c>
      <c r="F120" s="27" t="s">
        <v>24</v>
      </c>
      <c r="G120" s="34" t="s">
        <v>35</v>
      </c>
      <c r="H120" s="32" t="str">
        <f>VLOOKUP(G120,Codigo!$A$2:$B$46,2,FALSE)</f>
        <v>Gastos diversos</v>
      </c>
      <c r="I120" s="27" t="s">
        <v>229</v>
      </c>
      <c r="K120" t="s">
        <v>287</v>
      </c>
    </row>
    <row r="121" spans="1:18" ht="15" customHeight="1" x14ac:dyDescent="0.25">
      <c r="A121" s="23">
        <v>119</v>
      </c>
      <c r="B121" s="28">
        <v>45905</v>
      </c>
      <c r="C121" s="25" t="s">
        <v>279</v>
      </c>
      <c r="D121" s="26">
        <v>76.540000000000006</v>
      </c>
      <c r="F121" s="27" t="s">
        <v>24</v>
      </c>
      <c r="G121" s="35" t="s">
        <v>29</v>
      </c>
      <c r="H121" s="32" t="str">
        <f>VLOOKUP(G121,Codigo!$A$2:$B$46,2,FALSE)</f>
        <v>Reparacións</v>
      </c>
      <c r="I121" s="27" t="s">
        <v>229</v>
      </c>
    </row>
    <row r="122" spans="1:18" ht="15" customHeight="1" x14ac:dyDescent="0.25">
      <c r="A122" s="23">
        <v>120</v>
      </c>
      <c r="B122" s="28">
        <v>45908</v>
      </c>
      <c r="C122" s="29" t="s">
        <v>120</v>
      </c>
      <c r="D122" s="26">
        <v>263.83999999999997</v>
      </c>
      <c r="F122" s="27" t="s">
        <v>24</v>
      </c>
      <c r="G122" s="35" t="s">
        <v>25</v>
      </c>
      <c r="H122" s="32" t="str">
        <f>VLOOKUP(G122,Codigo!$A$2:$B$46,2,FALSE)</f>
        <v>Arredamientos</v>
      </c>
      <c r="I122" s="27" t="s">
        <v>229</v>
      </c>
    </row>
    <row r="123" spans="1:18" ht="15" customHeight="1" x14ac:dyDescent="0.25">
      <c r="A123" s="23">
        <v>121</v>
      </c>
      <c r="B123" s="28">
        <v>45912</v>
      </c>
      <c r="C123" s="25" t="s">
        <v>230</v>
      </c>
      <c r="D123" s="26"/>
      <c r="E123">
        <v>577.16999999999996</v>
      </c>
      <c r="F123" s="27" t="s">
        <v>20</v>
      </c>
      <c r="G123" s="35" t="s">
        <v>210</v>
      </c>
      <c r="H123" s="32" t="str">
        <f>VLOOKUP(G123,Codigo!$A$2:$B$46,2,FALSE)</f>
        <v>Otros</v>
      </c>
      <c r="I123" s="27" t="s">
        <v>229</v>
      </c>
    </row>
    <row r="124" spans="1:18" ht="15" customHeight="1" x14ac:dyDescent="0.25">
      <c r="A124" s="23">
        <v>122</v>
      </c>
      <c r="B124" s="28">
        <v>45917</v>
      </c>
      <c r="C124" s="25" t="s">
        <v>39</v>
      </c>
      <c r="D124" s="26">
        <v>17.79</v>
      </c>
      <c r="F124" s="27" t="s">
        <v>24</v>
      </c>
      <c r="G124" s="33" t="s">
        <v>43</v>
      </c>
      <c r="H124" s="32" t="str">
        <f>VLOOKUP(G124,Codigo!$A$2:$B$46,2,FALSE)</f>
        <v>Outras Subministracións</v>
      </c>
      <c r="I124" s="27" t="s">
        <v>229</v>
      </c>
    </row>
    <row r="125" spans="1:18" ht="15" customHeight="1" x14ac:dyDescent="0.25">
      <c r="A125" s="23">
        <v>123</v>
      </c>
      <c r="B125" s="28">
        <v>45917</v>
      </c>
      <c r="C125" s="25" t="s">
        <v>39</v>
      </c>
      <c r="D125" s="26">
        <v>16.45</v>
      </c>
      <c r="F125" s="27" t="s">
        <v>24</v>
      </c>
      <c r="G125" s="33" t="s">
        <v>43</v>
      </c>
      <c r="H125" s="32" t="str">
        <f>VLOOKUP(G125,Codigo!$A$2:$B$46,2,FALSE)</f>
        <v>Outras Subministracións</v>
      </c>
      <c r="I125" s="27" t="s">
        <v>229</v>
      </c>
    </row>
    <row r="126" spans="1:18" ht="15" customHeight="1" x14ac:dyDescent="0.25">
      <c r="A126" s="23">
        <v>124</v>
      </c>
      <c r="B126" s="28">
        <v>45917</v>
      </c>
      <c r="C126" s="25" t="s">
        <v>234</v>
      </c>
      <c r="D126" s="26">
        <v>144</v>
      </c>
      <c r="F126" s="27" t="s">
        <v>24</v>
      </c>
      <c r="G126" s="35" t="s">
        <v>35</v>
      </c>
      <c r="H126" s="32" t="str">
        <f>VLOOKUP(G126,Codigo!$A$2:$B$46,2,FALSE)</f>
        <v>Gastos diversos</v>
      </c>
      <c r="I126" s="27" t="s">
        <v>229</v>
      </c>
    </row>
    <row r="127" spans="1:18" ht="15" customHeight="1" x14ac:dyDescent="0.25">
      <c r="A127" s="23">
        <v>125</v>
      </c>
      <c r="B127" s="28">
        <v>45917</v>
      </c>
      <c r="C127" s="25" t="s">
        <v>126</v>
      </c>
      <c r="D127">
        <v>36.75</v>
      </c>
      <c r="F127" s="27" t="s">
        <v>24</v>
      </c>
      <c r="G127" s="35" t="s">
        <v>45</v>
      </c>
      <c r="H127" s="32" t="str">
        <f>VLOOKUP(G127,Codigo!$A$2:$B$46,2,FALSE)</f>
        <v>Material de oficina</v>
      </c>
      <c r="I127" s="27" t="s">
        <v>229</v>
      </c>
    </row>
    <row r="128" spans="1:18" ht="15" customHeight="1" x14ac:dyDescent="0.25">
      <c r="A128" s="23">
        <v>126</v>
      </c>
      <c r="B128" s="28">
        <v>45926</v>
      </c>
      <c r="C128" s="25" t="s">
        <v>48</v>
      </c>
      <c r="D128" s="36">
        <v>9.7100000000000009</v>
      </c>
      <c r="F128" s="27" t="s">
        <v>24</v>
      </c>
      <c r="G128" s="33" t="s">
        <v>35</v>
      </c>
      <c r="H128" s="32" t="str">
        <f>VLOOKUP(G128,Codigo!$A$2:$B$46,2,FALSE)</f>
        <v>Gastos diversos</v>
      </c>
      <c r="I128" s="27" t="s">
        <v>229</v>
      </c>
      <c r="K128" s="7"/>
    </row>
    <row r="129" spans="1:11" ht="15" customHeight="1" x14ac:dyDescent="0.25">
      <c r="A129" s="23">
        <v>127</v>
      </c>
      <c r="B129" s="28">
        <v>45926</v>
      </c>
      <c r="C129" s="25" t="s">
        <v>39</v>
      </c>
      <c r="D129" s="36">
        <v>16.95</v>
      </c>
      <c r="F129" s="27" t="s">
        <v>24</v>
      </c>
      <c r="G129" s="33" t="s">
        <v>43</v>
      </c>
      <c r="H129" s="32" t="str">
        <f>VLOOKUP(G129,Codigo!$A$2:$B$46,2,FALSE)</f>
        <v>Outras Subministracións</v>
      </c>
      <c r="I129" s="27" t="s">
        <v>229</v>
      </c>
    </row>
    <row r="130" spans="1:11" ht="15" customHeight="1" x14ac:dyDescent="0.25">
      <c r="A130" s="23">
        <v>128</v>
      </c>
      <c r="B130" s="28">
        <v>45937</v>
      </c>
      <c r="C130" s="25" t="s">
        <v>67</v>
      </c>
      <c r="D130" s="36">
        <v>3652.36</v>
      </c>
      <c r="F130" s="27" t="s">
        <v>24</v>
      </c>
      <c r="G130" s="33" t="s">
        <v>68</v>
      </c>
      <c r="H130" s="32" t="str">
        <f>VLOOKUP(G130,Codigo!$A$2:$B$46,2,FALSE)</f>
        <v>Gasoleo</v>
      </c>
      <c r="I130" s="27" t="s">
        <v>229</v>
      </c>
    </row>
    <row r="131" spans="1:11" ht="15" customHeight="1" x14ac:dyDescent="0.25">
      <c r="A131" s="23">
        <v>129</v>
      </c>
      <c r="B131" s="28">
        <v>45937</v>
      </c>
      <c r="C131" s="25" t="s">
        <v>39</v>
      </c>
      <c r="D131" s="36">
        <v>6.5</v>
      </c>
      <c r="F131" s="27" t="s">
        <v>24</v>
      </c>
      <c r="G131" s="33" t="s">
        <v>43</v>
      </c>
      <c r="H131" s="32" t="str">
        <f>VLOOKUP(G131,Codigo!$A$2:$B$46,2,FALSE)</f>
        <v>Outras Subministracións</v>
      </c>
      <c r="I131" s="27" t="s">
        <v>296</v>
      </c>
    </row>
    <row r="132" spans="1:11" ht="15" customHeight="1" x14ac:dyDescent="0.25">
      <c r="A132" s="23">
        <v>130</v>
      </c>
      <c r="B132" s="28">
        <v>45937</v>
      </c>
      <c r="C132" s="25" t="s">
        <v>279</v>
      </c>
      <c r="D132" s="26">
        <v>12.1</v>
      </c>
      <c r="F132" s="27" t="s">
        <v>24</v>
      </c>
      <c r="G132" s="35" t="s">
        <v>29</v>
      </c>
      <c r="H132" s="32" t="str">
        <f>VLOOKUP(G132,Codigo!$A$2:$B$46,2,FALSE)</f>
        <v>Reparacións</v>
      </c>
      <c r="I132" s="27" t="s">
        <v>296</v>
      </c>
    </row>
    <row r="133" spans="1:11" ht="15" customHeight="1" x14ac:dyDescent="0.25">
      <c r="A133" s="23">
        <v>131</v>
      </c>
      <c r="B133" s="28">
        <v>45937</v>
      </c>
      <c r="C133" s="25" t="s">
        <v>279</v>
      </c>
      <c r="D133" s="36">
        <v>76.540000000000006</v>
      </c>
      <c r="F133" s="27" t="s">
        <v>24</v>
      </c>
      <c r="G133" s="35" t="s">
        <v>29</v>
      </c>
      <c r="H133" s="32" t="str">
        <f>VLOOKUP(G133,Codigo!$A$2:$B$46,2,FALSE)</f>
        <v>Reparacións</v>
      </c>
      <c r="I133" s="27" t="s">
        <v>296</v>
      </c>
    </row>
    <row r="134" spans="1:11" ht="15" customHeight="1" x14ac:dyDescent="0.25">
      <c r="A134" s="23">
        <v>132</v>
      </c>
      <c r="B134" s="28">
        <v>45937</v>
      </c>
      <c r="C134" s="25" t="s">
        <v>235</v>
      </c>
      <c r="D134" s="36">
        <v>163.80000000000001</v>
      </c>
      <c r="F134" s="27" t="s">
        <v>24</v>
      </c>
      <c r="G134" s="35" t="s">
        <v>54</v>
      </c>
      <c r="H134" s="32" t="str">
        <f>VLOOKUP(G134,Codigo!$A$2:$B$46,2,FALSE)</f>
        <v>Axudas de custo e locomoción</v>
      </c>
      <c r="I134" s="27" t="s">
        <v>296</v>
      </c>
    </row>
    <row r="135" spans="1:11" ht="15" customHeight="1" x14ac:dyDescent="0.25">
      <c r="A135" s="23">
        <v>133</v>
      </c>
      <c r="B135" s="28">
        <v>45943</v>
      </c>
      <c r="C135" s="29" t="s">
        <v>120</v>
      </c>
      <c r="D135" s="36">
        <v>408.19</v>
      </c>
      <c r="F135" s="27" t="s">
        <v>24</v>
      </c>
      <c r="G135" s="35" t="s">
        <v>25</v>
      </c>
      <c r="H135" s="32" t="str">
        <f>VLOOKUP(G135,Codigo!$A$2:$B$46,2,FALSE)</f>
        <v>Arredamientos</v>
      </c>
      <c r="I135" s="27" t="s">
        <v>296</v>
      </c>
    </row>
    <row r="136" spans="1:11" ht="15" customHeight="1" x14ac:dyDescent="0.25">
      <c r="A136" s="23">
        <v>134</v>
      </c>
      <c r="B136" s="28">
        <v>45943</v>
      </c>
      <c r="C136" s="25" t="s">
        <v>236</v>
      </c>
      <c r="D136" s="36">
        <v>704</v>
      </c>
      <c r="F136" s="27" t="s">
        <v>24</v>
      </c>
      <c r="G136" s="35" t="s">
        <v>182</v>
      </c>
      <c r="H136" s="32" t="str">
        <f>VLOOKUP(G136,Codigo!$A$2:$B$46,2,FALSE)</f>
        <v>Transporte</v>
      </c>
      <c r="I136" s="27" t="s">
        <v>296</v>
      </c>
      <c r="K136" t="s">
        <v>237</v>
      </c>
    </row>
    <row r="137" spans="1:11" ht="15" customHeight="1" x14ac:dyDescent="0.25">
      <c r="A137" s="23">
        <v>135</v>
      </c>
      <c r="B137" s="28">
        <v>45943</v>
      </c>
      <c r="C137" s="25" t="s">
        <v>126</v>
      </c>
      <c r="D137" s="36">
        <v>88.77</v>
      </c>
      <c r="F137" s="27" t="s">
        <v>24</v>
      </c>
      <c r="G137" s="35" t="s">
        <v>45</v>
      </c>
      <c r="H137" s="32" t="str">
        <f>VLOOKUP(G137,Codigo!$A$2:$B$46,2,FALSE)</f>
        <v>Material de oficina</v>
      </c>
      <c r="I137" s="27" t="s">
        <v>296</v>
      </c>
    </row>
    <row r="138" spans="1:11" ht="15" customHeight="1" x14ac:dyDescent="0.25">
      <c r="A138" s="23">
        <v>136</v>
      </c>
      <c r="B138" s="28">
        <v>45950</v>
      </c>
      <c r="C138" s="25" t="s">
        <v>238</v>
      </c>
      <c r="D138" s="36">
        <v>72.599999999999994</v>
      </c>
      <c r="F138" s="27" t="s">
        <v>24</v>
      </c>
      <c r="G138" s="33" t="s">
        <v>43</v>
      </c>
      <c r="H138" s="32" t="str">
        <f>VLOOKUP(G138,Codigo!$A$2:$B$46,2,FALSE)</f>
        <v>Outras Subministracións</v>
      </c>
      <c r="I138" s="27" t="s">
        <v>296</v>
      </c>
    </row>
    <row r="139" spans="1:11" ht="15" customHeight="1" x14ac:dyDescent="0.25">
      <c r="A139" s="23">
        <v>137</v>
      </c>
      <c r="B139" s="28">
        <v>45950</v>
      </c>
      <c r="C139" s="25" t="s">
        <v>239</v>
      </c>
      <c r="D139" s="36">
        <v>145.9</v>
      </c>
      <c r="F139" s="27" t="s">
        <v>24</v>
      </c>
      <c r="G139" s="35" t="s">
        <v>43</v>
      </c>
      <c r="H139" s="32" t="str">
        <f>VLOOKUP(G139,Codigo!$A$2:$B$46,2,FALSE)</f>
        <v>Outras Subministracións</v>
      </c>
      <c r="I139" s="27" t="s">
        <v>296</v>
      </c>
    </row>
    <row r="140" spans="1:11" ht="15" customHeight="1" x14ac:dyDescent="0.25">
      <c r="A140" s="23">
        <v>138</v>
      </c>
      <c r="B140" s="28">
        <v>45950</v>
      </c>
      <c r="C140" s="25" t="s">
        <v>240</v>
      </c>
      <c r="D140" s="36">
        <v>8.4</v>
      </c>
      <c r="F140" s="27" t="s">
        <v>24</v>
      </c>
      <c r="G140" s="35" t="s">
        <v>43</v>
      </c>
      <c r="H140" s="32" t="str">
        <f>VLOOKUP(G140,Codigo!$A$2:$B$46,2,FALSE)</f>
        <v>Outras Subministracións</v>
      </c>
      <c r="I140" s="27" t="s">
        <v>296</v>
      </c>
    </row>
    <row r="141" spans="1:11" ht="15" customHeight="1" x14ac:dyDescent="0.25">
      <c r="A141" s="23">
        <v>139</v>
      </c>
      <c r="B141" s="28">
        <v>45950</v>
      </c>
      <c r="C141" s="25" t="s">
        <v>241</v>
      </c>
      <c r="D141" s="36">
        <v>83.25</v>
      </c>
      <c r="F141" s="27" t="s">
        <v>24</v>
      </c>
      <c r="G141" s="35" t="s">
        <v>187</v>
      </c>
      <c r="H141" s="32" t="str">
        <f>VLOOKUP(G141,Codigo!$A$2:$B$46,2,FALSE)</f>
        <v>Mobiliario e utensilios inventariables</v>
      </c>
      <c r="I141" s="27" t="s">
        <v>296</v>
      </c>
    </row>
    <row r="142" spans="1:11" ht="15" customHeight="1" x14ac:dyDescent="0.25">
      <c r="A142" s="23">
        <v>140</v>
      </c>
      <c r="B142" s="28">
        <v>45950</v>
      </c>
      <c r="C142" s="25" t="s">
        <v>242</v>
      </c>
      <c r="D142" s="36">
        <v>164.58</v>
      </c>
      <c r="F142" s="27" t="s">
        <v>24</v>
      </c>
      <c r="G142" s="35" t="s">
        <v>35</v>
      </c>
      <c r="H142" s="32" t="str">
        <f>VLOOKUP(G142,Codigo!$A$2:$B$46,2,FALSE)</f>
        <v>Gastos diversos</v>
      </c>
      <c r="I142" s="27" t="s">
        <v>296</v>
      </c>
    </row>
    <row r="143" spans="1:11" ht="15" customHeight="1" x14ac:dyDescent="0.25">
      <c r="A143" s="23">
        <v>141</v>
      </c>
      <c r="B143" s="28">
        <v>45951</v>
      </c>
      <c r="C143" s="25" t="s">
        <v>243</v>
      </c>
      <c r="D143" s="36">
        <v>80.11</v>
      </c>
      <c r="F143" s="27" t="s">
        <v>24</v>
      </c>
      <c r="G143" s="35" t="s">
        <v>45</v>
      </c>
      <c r="H143" s="32" t="str">
        <f>VLOOKUP(G143,Codigo!$A$2:$B$46,2,FALSE)</f>
        <v>Material de oficina</v>
      </c>
      <c r="I143" s="27" t="s">
        <v>296</v>
      </c>
    </row>
    <row r="144" spans="1:11" ht="15" customHeight="1" x14ac:dyDescent="0.25">
      <c r="A144" s="23">
        <v>142</v>
      </c>
      <c r="B144" s="28">
        <v>45951</v>
      </c>
      <c r="C144" s="4" t="s">
        <v>46</v>
      </c>
      <c r="D144" s="36">
        <v>297.12</v>
      </c>
      <c r="F144" s="27" t="s">
        <v>24</v>
      </c>
      <c r="G144" s="35" t="s">
        <v>35</v>
      </c>
      <c r="H144" s="32" t="str">
        <f>VLOOKUP(G144,Codigo!$A$2:$B$46,2,FALSE)</f>
        <v>Gastos diversos</v>
      </c>
      <c r="I144" s="27" t="s">
        <v>296</v>
      </c>
    </row>
    <row r="145" spans="1:12" ht="15" customHeight="1" x14ac:dyDescent="0.25">
      <c r="A145" s="23">
        <v>143</v>
      </c>
      <c r="B145" s="28">
        <v>45957</v>
      </c>
      <c r="C145" s="25" t="s">
        <v>244</v>
      </c>
      <c r="D145" s="36">
        <v>7.22</v>
      </c>
      <c r="F145" s="27" t="s">
        <v>24</v>
      </c>
      <c r="G145" s="35" t="s">
        <v>43</v>
      </c>
      <c r="H145" s="32" t="str">
        <f>VLOOKUP(G145,Codigo!$A$2:$B$46,2,FALSE)</f>
        <v>Outras Subministracións</v>
      </c>
      <c r="I145" s="27" t="s">
        <v>296</v>
      </c>
    </row>
    <row r="146" spans="1:12" ht="15" customHeight="1" x14ac:dyDescent="0.25">
      <c r="A146" s="23">
        <v>144</v>
      </c>
      <c r="B146" s="28">
        <v>45957</v>
      </c>
      <c r="C146" s="25" t="s">
        <v>39</v>
      </c>
      <c r="D146" s="36">
        <v>12.4</v>
      </c>
      <c r="F146" s="27" t="s">
        <v>24</v>
      </c>
      <c r="G146" s="35" t="s">
        <v>43</v>
      </c>
      <c r="H146" s="32" t="str">
        <f>VLOOKUP(G146,Codigo!$A$2:$B$46,2,FALSE)</f>
        <v>Outras Subministracións</v>
      </c>
      <c r="I146" s="27" t="s">
        <v>296</v>
      </c>
    </row>
    <row r="147" spans="1:12" ht="15" customHeight="1" x14ac:dyDescent="0.25">
      <c r="A147" s="23">
        <v>145</v>
      </c>
      <c r="B147" s="28">
        <v>45957</v>
      </c>
      <c r="C147" s="25" t="s">
        <v>245</v>
      </c>
      <c r="D147" s="36">
        <v>11.99</v>
      </c>
      <c r="F147" s="27" t="s">
        <v>24</v>
      </c>
      <c r="G147" s="35" t="s">
        <v>35</v>
      </c>
      <c r="H147" s="32" t="str">
        <f>VLOOKUP(G147,Codigo!$A$2:$B$46,2,FALSE)</f>
        <v>Gastos diversos</v>
      </c>
      <c r="I147" s="27" t="s">
        <v>296</v>
      </c>
      <c r="K147" s="7" t="s">
        <v>92</v>
      </c>
    </row>
    <row r="148" spans="1:12" ht="15" customHeight="1" x14ac:dyDescent="0.25">
      <c r="A148" s="23">
        <v>146</v>
      </c>
      <c r="B148" s="28">
        <v>45957</v>
      </c>
      <c r="C148" s="4" t="s">
        <v>44</v>
      </c>
      <c r="D148" s="36">
        <v>17.98</v>
      </c>
      <c r="F148" s="27" t="s">
        <v>24</v>
      </c>
      <c r="G148" s="35" t="s">
        <v>35</v>
      </c>
      <c r="H148" s="32" t="str">
        <f>VLOOKUP(G148,Codigo!$A$2:$B$46,2,FALSE)</f>
        <v>Gastos diversos</v>
      </c>
      <c r="I148" s="27" t="s">
        <v>296</v>
      </c>
      <c r="K148" s="7" t="s">
        <v>92</v>
      </c>
    </row>
    <row r="149" spans="1:12" ht="15" customHeight="1" x14ac:dyDescent="0.25">
      <c r="A149" s="23">
        <v>147</v>
      </c>
      <c r="B149" s="28">
        <v>45957</v>
      </c>
      <c r="C149" s="25" t="s">
        <v>130</v>
      </c>
      <c r="D149" s="36">
        <v>143</v>
      </c>
      <c r="F149" s="27" t="s">
        <v>24</v>
      </c>
      <c r="G149" s="35" t="s">
        <v>35</v>
      </c>
      <c r="H149" s="32" t="str">
        <f>VLOOKUP(G149,Codigo!$A$2:$B$46,2,FALSE)</f>
        <v>Gastos diversos</v>
      </c>
      <c r="I149" s="27" t="s">
        <v>296</v>
      </c>
      <c r="K149" s="7" t="s">
        <v>36</v>
      </c>
      <c r="L149" t="s">
        <v>37</v>
      </c>
    </row>
    <row r="150" spans="1:12" ht="15" customHeight="1" x14ac:dyDescent="0.25">
      <c r="A150" s="23">
        <v>148</v>
      </c>
      <c r="B150" s="28">
        <v>45957</v>
      </c>
      <c r="C150" s="25" t="s">
        <v>130</v>
      </c>
      <c r="D150" s="36">
        <v>400</v>
      </c>
      <c r="F150" s="27" t="s">
        <v>24</v>
      </c>
      <c r="G150" s="35" t="s">
        <v>35</v>
      </c>
      <c r="H150" s="32" t="str">
        <f>VLOOKUP(G150,Codigo!$A$2:$B$46,2,FALSE)</f>
        <v>Gastos diversos</v>
      </c>
      <c r="I150" s="27" t="s">
        <v>296</v>
      </c>
      <c r="K150" s="7" t="s">
        <v>36</v>
      </c>
      <c r="L150" t="s">
        <v>131</v>
      </c>
    </row>
    <row r="151" spans="1:12" ht="15" customHeight="1" x14ac:dyDescent="0.25">
      <c r="A151" s="23">
        <v>149</v>
      </c>
      <c r="B151" s="28">
        <v>45958</v>
      </c>
      <c r="C151" s="25" t="s">
        <v>246</v>
      </c>
      <c r="D151" s="36"/>
      <c r="E151" s="36">
        <v>841</v>
      </c>
      <c r="F151" s="27" t="s">
        <v>20</v>
      </c>
      <c r="G151" s="35" t="s">
        <v>60</v>
      </c>
      <c r="H151" s="32" t="str">
        <f>VLOOKUP(G151,Codigo!$A$2:$B$46,2,FALSE)</f>
        <v>Dotacións legados e subvencións</v>
      </c>
      <c r="I151" s="27" t="s">
        <v>296</v>
      </c>
      <c r="K151" s="7"/>
    </row>
    <row r="152" spans="1:12" ht="15" customHeight="1" x14ac:dyDescent="0.25">
      <c r="A152" s="23">
        <v>150</v>
      </c>
      <c r="B152" s="28">
        <v>45958</v>
      </c>
      <c r="C152" s="25" t="s">
        <v>246</v>
      </c>
      <c r="D152" s="36">
        <v>300</v>
      </c>
      <c r="F152" s="27" t="s">
        <v>24</v>
      </c>
      <c r="G152" s="35" t="s">
        <v>35</v>
      </c>
      <c r="H152" s="32" t="str">
        <f>VLOOKUP(G152,Codigo!$A$2:$B$46,2,FALSE)</f>
        <v>Gastos diversos</v>
      </c>
      <c r="I152" s="27" t="s">
        <v>296</v>
      </c>
    </row>
    <row r="153" spans="1:12" ht="15" customHeight="1" x14ac:dyDescent="0.25">
      <c r="A153" s="23">
        <v>151</v>
      </c>
      <c r="B153" s="28">
        <v>45966</v>
      </c>
      <c r="C153" s="25" t="s">
        <v>246</v>
      </c>
      <c r="E153">
        <v>861</v>
      </c>
      <c r="F153" s="27" t="s">
        <v>20</v>
      </c>
      <c r="G153" s="35" t="s">
        <v>60</v>
      </c>
      <c r="H153" s="32" t="str">
        <f>VLOOKUP(G153,Codigo!$A$2:$B$46,2,FALSE)</f>
        <v>Dotacións legados e subvencións</v>
      </c>
      <c r="I153" s="27" t="s">
        <v>296</v>
      </c>
    </row>
    <row r="154" spans="1:12" ht="15" customHeight="1" x14ac:dyDescent="0.25">
      <c r="A154" s="23">
        <v>152</v>
      </c>
      <c r="B154" s="28">
        <v>45966</v>
      </c>
      <c r="C154" s="4" t="s">
        <v>75</v>
      </c>
      <c r="E154">
        <v>6486</v>
      </c>
      <c r="F154" s="27" t="s">
        <v>20</v>
      </c>
      <c r="G154" s="35" t="s">
        <v>76</v>
      </c>
      <c r="H154" s="32" t="str">
        <f>VLOOKUP(G154,Codigo!$A$2:$B$46,2,FALSE)</f>
        <v>Gastos de funcionamento</v>
      </c>
      <c r="I154" s="27" t="s">
        <v>296</v>
      </c>
    </row>
    <row r="155" spans="1:12" ht="15" customHeight="1" x14ac:dyDescent="0.25">
      <c r="A155" s="23">
        <v>153</v>
      </c>
      <c r="B155" s="28">
        <v>45966</v>
      </c>
      <c r="C155" s="4" t="s">
        <v>247</v>
      </c>
      <c r="E155">
        <v>1313</v>
      </c>
      <c r="F155" s="27" t="s">
        <v>20</v>
      </c>
      <c r="G155" s="35" t="s">
        <v>79</v>
      </c>
      <c r="H155" s="32" t="str">
        <f>VLOOKUP(G155,Codigo!$A$2:$B$46,2,FALSE)</f>
        <v>Dotacións UE-Outros organismos</v>
      </c>
      <c r="I155" s="27" t="s">
        <v>296</v>
      </c>
      <c r="K155" t="s">
        <v>267</v>
      </c>
      <c r="L155" t="s">
        <v>38</v>
      </c>
    </row>
    <row r="156" spans="1:12" ht="15" customHeight="1" x14ac:dyDescent="0.25">
      <c r="A156" s="23">
        <v>154</v>
      </c>
      <c r="B156" s="28">
        <v>45966</v>
      </c>
      <c r="C156" s="4" t="s">
        <v>247</v>
      </c>
      <c r="E156">
        <v>400</v>
      </c>
      <c r="F156" s="27" t="s">
        <v>20</v>
      </c>
      <c r="G156" s="35" t="s">
        <v>79</v>
      </c>
      <c r="H156" s="32" t="str">
        <f>VLOOKUP(G156,Codigo!$A$2:$B$46,2,FALSE)</f>
        <v>Dotacións UE-Outros organismos</v>
      </c>
      <c r="I156" s="27" t="s">
        <v>296</v>
      </c>
      <c r="K156" t="s">
        <v>268</v>
      </c>
      <c r="L156" t="s">
        <v>81</v>
      </c>
    </row>
    <row r="157" spans="1:12" ht="15" customHeight="1" x14ac:dyDescent="0.25">
      <c r="A157" s="23">
        <v>155</v>
      </c>
      <c r="B157" s="28">
        <v>45966</v>
      </c>
      <c r="C157" s="4" t="s">
        <v>247</v>
      </c>
      <c r="E157">
        <v>2226</v>
      </c>
      <c r="F157" s="27" t="s">
        <v>20</v>
      </c>
      <c r="G157" s="35" t="s">
        <v>79</v>
      </c>
      <c r="H157" s="32" t="str">
        <f>VLOOKUP(G157,Codigo!$A$2:$B$46,2,FALSE)</f>
        <v>Dotacións UE-Outros organismos</v>
      </c>
      <c r="I157" s="27" t="s">
        <v>296</v>
      </c>
      <c r="K157" t="s">
        <v>269</v>
      </c>
      <c r="L157" t="s">
        <v>249</v>
      </c>
    </row>
    <row r="158" spans="1:12" ht="15" customHeight="1" x14ac:dyDescent="0.25">
      <c r="A158" s="23">
        <v>156</v>
      </c>
      <c r="B158" s="28">
        <v>45966</v>
      </c>
      <c r="C158" s="4" t="s">
        <v>247</v>
      </c>
      <c r="E158">
        <v>400</v>
      </c>
      <c r="F158" s="27" t="s">
        <v>20</v>
      </c>
      <c r="G158" s="35" t="s">
        <v>79</v>
      </c>
      <c r="H158" s="32" t="str">
        <f>VLOOKUP(G158,Codigo!$A$2:$B$46,2,FALSE)</f>
        <v>Dotacións UE-Outros organismos</v>
      </c>
      <c r="I158" s="27" t="s">
        <v>296</v>
      </c>
      <c r="K158" t="s">
        <v>270</v>
      </c>
      <c r="L158" t="s">
        <v>250</v>
      </c>
    </row>
    <row r="159" spans="1:12" ht="15" customHeight="1" x14ac:dyDescent="0.25">
      <c r="A159" s="23">
        <v>157</v>
      </c>
      <c r="B159" s="28">
        <v>45966</v>
      </c>
      <c r="C159" s="4" t="s">
        <v>247</v>
      </c>
      <c r="E159">
        <v>400</v>
      </c>
      <c r="F159" s="27" t="s">
        <v>20</v>
      </c>
      <c r="G159" s="35" t="s">
        <v>79</v>
      </c>
      <c r="H159" s="32" t="str">
        <f>VLOOKUP(G159,Codigo!$A$2:$B$46,2,FALSE)</f>
        <v>Dotacións UE-Outros organismos</v>
      </c>
      <c r="I159" s="27" t="s">
        <v>296</v>
      </c>
      <c r="K159" t="s">
        <v>271</v>
      </c>
      <c r="L159" t="s">
        <v>131</v>
      </c>
    </row>
    <row r="160" spans="1:12" ht="15" customHeight="1" x14ac:dyDescent="0.25">
      <c r="A160" s="23">
        <v>158</v>
      </c>
      <c r="B160" s="28">
        <v>45966</v>
      </c>
      <c r="C160" s="4" t="s">
        <v>75</v>
      </c>
      <c r="E160">
        <v>1030</v>
      </c>
      <c r="F160" s="27" t="s">
        <v>20</v>
      </c>
      <c r="G160" s="35" t="s">
        <v>205</v>
      </c>
      <c r="H160" s="32" t="str">
        <f>VLOOKUP(G160,Codigo!$A$2:$B$46,2,FALSE)</f>
        <v>Dotación Biblioteca</v>
      </c>
      <c r="I160" s="27" t="s">
        <v>296</v>
      </c>
      <c r="K160" s="7" t="s">
        <v>49</v>
      </c>
    </row>
    <row r="161" spans="1:12" ht="15" customHeight="1" x14ac:dyDescent="0.25">
      <c r="A161" s="23">
        <v>159</v>
      </c>
      <c r="B161" s="28">
        <v>45966</v>
      </c>
      <c r="C161" s="25" t="s">
        <v>253</v>
      </c>
      <c r="D161">
        <v>15.6</v>
      </c>
      <c r="F161" s="27" t="s">
        <v>24</v>
      </c>
      <c r="G161" s="35" t="s">
        <v>54</v>
      </c>
      <c r="H161" s="32" t="str">
        <f>VLOOKUP(G161,Codigo!$A$2:$B$46,2,FALSE)</f>
        <v>Axudas de custo e locomoción</v>
      </c>
      <c r="I161" s="27" t="s">
        <v>296</v>
      </c>
    </row>
    <row r="162" spans="1:12" ht="15" customHeight="1" x14ac:dyDescent="0.25">
      <c r="A162" s="23">
        <v>160</v>
      </c>
      <c r="B162" s="28">
        <v>45971</v>
      </c>
      <c r="C162" s="29" t="s">
        <v>120</v>
      </c>
      <c r="D162">
        <v>408.19</v>
      </c>
      <c r="F162" s="27" t="s">
        <v>24</v>
      </c>
      <c r="G162" s="35" t="s">
        <v>25</v>
      </c>
      <c r="H162" s="32" t="str">
        <f>VLOOKUP(G162,Codigo!$A$2:$B$46,2,FALSE)</f>
        <v>Arredamientos</v>
      </c>
      <c r="I162" s="27" t="s">
        <v>296</v>
      </c>
    </row>
    <row r="163" spans="1:12" ht="15" customHeight="1" x14ac:dyDescent="0.25">
      <c r="A163" s="23">
        <v>161</v>
      </c>
      <c r="B163" s="28">
        <v>45971</v>
      </c>
      <c r="C163" s="25" t="s">
        <v>279</v>
      </c>
      <c r="D163">
        <v>76.540000000000006</v>
      </c>
      <c r="F163" s="27" t="s">
        <v>24</v>
      </c>
      <c r="G163" s="35" t="s">
        <v>29</v>
      </c>
      <c r="H163" s="32" t="str">
        <f>VLOOKUP(G163,Codigo!$A$2:$B$46,2,FALSE)</f>
        <v>Reparacións</v>
      </c>
      <c r="I163" s="27" t="s">
        <v>296</v>
      </c>
    </row>
    <row r="164" spans="1:12" ht="15" customHeight="1" x14ac:dyDescent="0.25">
      <c r="A164" s="23">
        <v>162</v>
      </c>
      <c r="B164" s="28">
        <v>45971</v>
      </c>
      <c r="C164" s="25" t="s">
        <v>254</v>
      </c>
      <c r="D164">
        <v>48.34</v>
      </c>
      <c r="F164" s="27" t="s">
        <v>24</v>
      </c>
      <c r="G164" s="35" t="s">
        <v>35</v>
      </c>
      <c r="H164" s="32" t="str">
        <f>VLOOKUP(G164,Codigo!$A$2:$B$46,2,FALSE)</f>
        <v>Gastos diversos</v>
      </c>
      <c r="I164" s="27" t="s">
        <v>296</v>
      </c>
      <c r="K164" t="s">
        <v>251</v>
      </c>
    </row>
    <row r="165" spans="1:12" ht="15" customHeight="1" x14ac:dyDescent="0.25">
      <c r="A165" s="23">
        <v>163</v>
      </c>
      <c r="B165" s="28">
        <v>45971</v>
      </c>
      <c r="C165" s="25" t="s">
        <v>50</v>
      </c>
      <c r="D165">
        <v>198.02</v>
      </c>
      <c r="F165" s="27" t="s">
        <v>24</v>
      </c>
      <c r="G165" s="35" t="s">
        <v>35</v>
      </c>
      <c r="H165" s="32" t="str">
        <f>VLOOKUP(G165,Codigo!$A$2:$B$46,2,FALSE)</f>
        <v>Gastos diversos</v>
      </c>
      <c r="I165" s="27" t="s">
        <v>296</v>
      </c>
      <c r="K165" t="s">
        <v>258</v>
      </c>
    </row>
    <row r="166" spans="1:12" ht="15" customHeight="1" x14ac:dyDescent="0.25">
      <c r="A166" s="23">
        <v>164</v>
      </c>
      <c r="B166" s="28">
        <v>45971</v>
      </c>
      <c r="C166" s="25" t="s">
        <v>34</v>
      </c>
      <c r="D166">
        <v>140</v>
      </c>
      <c r="F166" s="27" t="s">
        <v>24</v>
      </c>
      <c r="G166" s="35" t="s">
        <v>35</v>
      </c>
      <c r="H166" s="32" t="str">
        <f>VLOOKUP(G166,Codigo!$A$2:$B$46,2,FALSE)</f>
        <v>Gastos diversos</v>
      </c>
      <c r="I166" s="27" t="s">
        <v>296</v>
      </c>
      <c r="K166" t="s">
        <v>255</v>
      </c>
      <c r="L166" t="s">
        <v>38</v>
      </c>
    </row>
    <row r="167" spans="1:12" ht="15" customHeight="1" x14ac:dyDescent="0.25">
      <c r="A167" s="23">
        <v>165</v>
      </c>
      <c r="B167" s="28">
        <v>45971</v>
      </c>
      <c r="C167" s="25" t="s">
        <v>34</v>
      </c>
      <c r="D167">
        <v>35</v>
      </c>
      <c r="F167" s="27" t="s">
        <v>24</v>
      </c>
      <c r="G167" s="35" t="s">
        <v>35</v>
      </c>
      <c r="H167" s="32" t="str">
        <f>VLOOKUP(G167,Codigo!$A$2:$B$46,2,FALSE)</f>
        <v>Gastos diversos</v>
      </c>
      <c r="I167" s="27" t="s">
        <v>296</v>
      </c>
      <c r="K167" t="s">
        <v>248</v>
      </c>
      <c r="L167" t="s">
        <v>249</v>
      </c>
    </row>
    <row r="168" spans="1:12" ht="15" customHeight="1" x14ac:dyDescent="0.25">
      <c r="A168" s="23">
        <v>166</v>
      </c>
      <c r="B168" s="28">
        <v>45971</v>
      </c>
      <c r="C168" s="25" t="s">
        <v>256</v>
      </c>
      <c r="D168">
        <v>30.16</v>
      </c>
      <c r="F168" s="27" t="s">
        <v>24</v>
      </c>
      <c r="G168" s="35" t="s">
        <v>54</v>
      </c>
      <c r="H168" s="32" t="str">
        <f>VLOOKUP(G168,Codigo!$A$2:$B$46,2,FALSE)</f>
        <v>Axudas de custo e locomoción</v>
      </c>
      <c r="I168" s="27" t="s">
        <v>296</v>
      </c>
    </row>
    <row r="169" spans="1:12" ht="15" customHeight="1" x14ac:dyDescent="0.25">
      <c r="A169" s="23">
        <v>167</v>
      </c>
      <c r="B169" s="28">
        <v>45971</v>
      </c>
      <c r="C169" s="25" t="s">
        <v>257</v>
      </c>
      <c r="D169">
        <v>2.5499999999999998</v>
      </c>
      <c r="F169" s="27" t="s">
        <v>24</v>
      </c>
      <c r="G169" s="35" t="s">
        <v>54</v>
      </c>
      <c r="H169" s="32" t="str">
        <f>VLOOKUP(G169,Codigo!$A$2:$B$46,2,FALSE)</f>
        <v>Axudas de custo e locomoción</v>
      </c>
      <c r="I169" s="27" t="s">
        <v>296</v>
      </c>
    </row>
    <row r="170" spans="1:12" ht="15" customHeight="1" x14ac:dyDescent="0.25">
      <c r="A170" s="23">
        <v>168</v>
      </c>
      <c r="B170" s="28">
        <v>45972</v>
      </c>
      <c r="C170" s="25" t="s">
        <v>259</v>
      </c>
      <c r="D170">
        <v>67</v>
      </c>
      <c r="F170" s="27" t="s">
        <v>24</v>
      </c>
      <c r="G170" s="35" t="s">
        <v>35</v>
      </c>
      <c r="H170" s="32" t="str">
        <f>VLOOKUP(G170,Codigo!$A$2:$B$46,2,FALSE)</f>
        <v>Gastos diversos</v>
      </c>
      <c r="I170" s="27" t="s">
        <v>296</v>
      </c>
      <c r="K170" s="7" t="s">
        <v>49</v>
      </c>
    </row>
    <row r="171" spans="1:12" ht="15" customHeight="1" x14ac:dyDescent="0.25">
      <c r="A171" s="23">
        <v>169</v>
      </c>
      <c r="B171" s="28">
        <v>45972</v>
      </c>
      <c r="C171" s="25" t="s">
        <v>260</v>
      </c>
      <c r="D171">
        <v>119.97</v>
      </c>
      <c r="F171" s="27" t="s">
        <v>24</v>
      </c>
      <c r="G171" s="35" t="s">
        <v>43</v>
      </c>
      <c r="H171" s="32" t="str">
        <f>VLOOKUP(G171,Codigo!$A$2:$B$46,2,FALSE)</f>
        <v>Outras Subministracións</v>
      </c>
      <c r="I171" s="27" t="s">
        <v>296</v>
      </c>
    </row>
    <row r="172" spans="1:12" ht="15" customHeight="1" x14ac:dyDescent="0.25">
      <c r="A172" s="23">
        <v>170</v>
      </c>
      <c r="B172" s="28">
        <v>45972</v>
      </c>
      <c r="C172" s="25" t="s">
        <v>275</v>
      </c>
      <c r="D172">
        <v>41.22</v>
      </c>
      <c r="F172" s="27" t="s">
        <v>24</v>
      </c>
      <c r="G172" s="35" t="s">
        <v>43</v>
      </c>
      <c r="H172" s="32" t="str">
        <f>VLOOKUP(G172,Codigo!$A$2:$B$46,2,FALSE)</f>
        <v>Outras Subministracións</v>
      </c>
      <c r="I172" s="27" t="s">
        <v>296</v>
      </c>
    </row>
    <row r="173" spans="1:12" ht="15" customHeight="1" x14ac:dyDescent="0.25">
      <c r="A173" s="23">
        <v>171</v>
      </c>
      <c r="B173" s="28">
        <v>45975</v>
      </c>
      <c r="C173" s="25" t="s">
        <v>261</v>
      </c>
      <c r="D173">
        <v>176</v>
      </c>
      <c r="F173" s="27" t="s">
        <v>24</v>
      </c>
      <c r="G173" s="35" t="s">
        <v>29</v>
      </c>
      <c r="H173" s="32" t="str">
        <f>VLOOKUP(G173,Codigo!$A$2:$B$46,2,FALSE)</f>
        <v>Reparacións</v>
      </c>
      <c r="I173" s="27" t="s">
        <v>296</v>
      </c>
      <c r="K173" t="s">
        <v>262</v>
      </c>
    </row>
    <row r="174" spans="1:12" ht="15" customHeight="1" x14ac:dyDescent="0.25">
      <c r="A174" s="23">
        <v>172</v>
      </c>
      <c r="B174" s="28">
        <v>45975</v>
      </c>
      <c r="C174" s="25" t="s">
        <v>46</v>
      </c>
      <c r="D174">
        <v>158.91999999999999</v>
      </c>
      <c r="F174" s="27" t="s">
        <v>24</v>
      </c>
      <c r="G174" s="35" t="s">
        <v>35</v>
      </c>
      <c r="H174" s="32" t="str">
        <f>VLOOKUP(G174,Codigo!$A$2:$B$46,2,FALSE)</f>
        <v>Gastos diversos</v>
      </c>
      <c r="I174" s="27" t="s">
        <v>296</v>
      </c>
    </row>
    <row r="175" spans="1:12" ht="15" customHeight="1" x14ac:dyDescent="0.25">
      <c r="A175" s="23">
        <v>173</v>
      </c>
      <c r="B175" s="28">
        <v>45975</v>
      </c>
      <c r="C175" s="25" t="s">
        <v>39</v>
      </c>
      <c r="D175">
        <v>53.95</v>
      </c>
      <c r="F175" s="27" t="s">
        <v>24</v>
      </c>
      <c r="G175" s="35" t="s">
        <v>43</v>
      </c>
      <c r="H175" s="32" t="str">
        <f>VLOOKUP(G175,Codigo!$A$2:$B$46,2,FALSE)</f>
        <v>Outras Subministracións</v>
      </c>
      <c r="I175" s="27" t="s">
        <v>296</v>
      </c>
    </row>
    <row r="176" spans="1:12" ht="15" customHeight="1" x14ac:dyDescent="0.25">
      <c r="A176" s="23">
        <v>174</v>
      </c>
      <c r="B176" s="28">
        <v>45975</v>
      </c>
      <c r="C176" s="25" t="s">
        <v>263</v>
      </c>
      <c r="D176">
        <v>18182.05</v>
      </c>
      <c r="F176" s="27" t="s">
        <v>24</v>
      </c>
      <c r="G176" s="35" t="s">
        <v>184</v>
      </c>
      <c r="H176" s="32" t="str">
        <f>VLOOKUP(G176,Codigo!$A$2:$B$46,2,FALSE)</f>
        <v>Traballos realizados outras empresas</v>
      </c>
      <c r="I176" s="27" t="s">
        <v>296</v>
      </c>
      <c r="K176" t="s">
        <v>262</v>
      </c>
    </row>
    <row r="177" spans="1:11" ht="15" customHeight="1" x14ac:dyDescent="0.25">
      <c r="A177" s="23">
        <v>175</v>
      </c>
      <c r="B177" s="28">
        <v>45978</v>
      </c>
      <c r="C177" s="25" t="s">
        <v>264</v>
      </c>
      <c r="E177">
        <v>4320</v>
      </c>
      <c r="F177" s="27" t="s">
        <v>20</v>
      </c>
      <c r="G177" s="35" t="s">
        <v>194</v>
      </c>
      <c r="H177" s="32" t="str">
        <f>VLOOKUP(G177,Codigo!$A$2:$B$46,2,FALSE)</f>
        <v>Fondo solidario libros</v>
      </c>
      <c r="I177" s="27" t="s">
        <v>296</v>
      </c>
      <c r="K177" t="s">
        <v>295</v>
      </c>
    </row>
    <row r="178" spans="1:11" ht="15" customHeight="1" x14ac:dyDescent="0.25">
      <c r="A178" s="23">
        <v>176</v>
      </c>
      <c r="B178" s="28">
        <v>45979</v>
      </c>
      <c r="C178" s="25" t="s">
        <v>266</v>
      </c>
      <c r="D178">
        <v>400</v>
      </c>
      <c r="F178" s="27" t="s">
        <v>24</v>
      </c>
      <c r="G178" s="35" t="s">
        <v>35</v>
      </c>
      <c r="H178" s="32" t="str">
        <f>VLOOKUP(G178,Codigo!$A$2:$B$46,2,FALSE)</f>
        <v>Gastos diversos</v>
      </c>
      <c r="I178" s="27" t="s">
        <v>296</v>
      </c>
      <c r="K178" t="s">
        <v>272</v>
      </c>
    </row>
    <row r="179" spans="1:11" ht="15" customHeight="1" x14ac:dyDescent="0.25">
      <c r="A179" s="23">
        <v>177</v>
      </c>
      <c r="B179" s="28">
        <v>45982</v>
      </c>
      <c r="C179" s="25" t="s">
        <v>126</v>
      </c>
      <c r="D179">
        <v>384.05</v>
      </c>
      <c r="F179" s="27" t="s">
        <v>24</v>
      </c>
      <c r="G179" s="35" t="s">
        <v>35</v>
      </c>
      <c r="H179" s="32" t="str">
        <f>VLOOKUP(G179,Codigo!$A$2:$B$46,2,FALSE)</f>
        <v>Gastos diversos</v>
      </c>
      <c r="I179" s="27" t="s">
        <v>296</v>
      </c>
    </row>
    <row r="180" spans="1:11" ht="15" customHeight="1" x14ac:dyDescent="0.25">
      <c r="A180" s="23">
        <v>178</v>
      </c>
      <c r="B180" s="28">
        <v>45982</v>
      </c>
      <c r="C180" s="25" t="s">
        <v>48</v>
      </c>
      <c r="D180">
        <v>214.26</v>
      </c>
      <c r="F180" s="27" t="s">
        <v>24</v>
      </c>
      <c r="G180" s="35" t="s">
        <v>35</v>
      </c>
      <c r="H180" s="32" t="str">
        <f>VLOOKUP(G180,Codigo!$A$2:$B$46,2,FALSE)</f>
        <v>Gastos diversos</v>
      </c>
      <c r="I180" s="27" t="s">
        <v>296</v>
      </c>
      <c r="K180" s="7" t="s">
        <v>49</v>
      </c>
    </row>
    <row r="181" spans="1:11" ht="15" customHeight="1" x14ac:dyDescent="0.25">
      <c r="A181" s="23">
        <v>179</v>
      </c>
      <c r="B181" s="28">
        <v>45982</v>
      </c>
      <c r="C181" s="25" t="s">
        <v>273</v>
      </c>
      <c r="D181">
        <v>7</v>
      </c>
      <c r="F181" s="27" t="s">
        <v>24</v>
      </c>
      <c r="G181" s="35" t="s">
        <v>54</v>
      </c>
      <c r="H181" s="32" t="str">
        <f>VLOOKUP(G181,Codigo!$A$2:$B$46,2,FALSE)</f>
        <v>Axudas de custo e locomoción</v>
      </c>
      <c r="I181" s="27" t="s">
        <v>296</v>
      </c>
    </row>
    <row r="182" spans="1:11" ht="15" customHeight="1" x14ac:dyDescent="0.25">
      <c r="A182" s="23">
        <v>180</v>
      </c>
      <c r="B182" s="28">
        <v>45982</v>
      </c>
      <c r="C182" s="25" t="s">
        <v>273</v>
      </c>
      <c r="D182">
        <v>7</v>
      </c>
      <c r="F182" s="27" t="s">
        <v>24</v>
      </c>
      <c r="G182" s="35" t="s">
        <v>54</v>
      </c>
      <c r="H182" s="32" t="str">
        <f>VLOOKUP(G182,Codigo!$A$2:$B$46,2,FALSE)</f>
        <v>Axudas de custo e locomoción</v>
      </c>
      <c r="I182" s="27" t="s">
        <v>296</v>
      </c>
    </row>
    <row r="183" spans="1:11" ht="15" customHeight="1" x14ac:dyDescent="0.25">
      <c r="A183" s="23">
        <v>181</v>
      </c>
      <c r="B183" s="28">
        <v>45982</v>
      </c>
      <c r="C183" s="25" t="s">
        <v>273</v>
      </c>
      <c r="D183">
        <v>46.28</v>
      </c>
      <c r="F183" s="27" t="s">
        <v>24</v>
      </c>
      <c r="G183" s="35" t="s">
        <v>54</v>
      </c>
      <c r="H183" s="32" t="str">
        <f>VLOOKUP(G183,Codigo!$A$2:$B$46,2,FALSE)</f>
        <v>Axudas de custo e locomoción</v>
      </c>
      <c r="I183" s="27" t="s">
        <v>296</v>
      </c>
    </row>
    <row r="184" spans="1:11" ht="15" customHeight="1" x14ac:dyDescent="0.25">
      <c r="A184" s="23">
        <v>182</v>
      </c>
      <c r="B184" s="28">
        <v>45989</v>
      </c>
      <c r="C184" s="25" t="s">
        <v>236</v>
      </c>
      <c r="D184">
        <v>110</v>
      </c>
      <c r="F184" s="27" t="s">
        <v>24</v>
      </c>
      <c r="G184" s="35" t="s">
        <v>182</v>
      </c>
      <c r="H184" s="32" t="str">
        <f>VLOOKUP(G184,Codigo!$A$2:$B$46,2,FALSE)</f>
        <v>Transporte</v>
      </c>
      <c r="I184" s="27" t="s">
        <v>296</v>
      </c>
      <c r="K184" t="s">
        <v>274</v>
      </c>
    </row>
    <row r="185" spans="1:11" ht="15" customHeight="1" x14ac:dyDescent="0.25">
      <c r="A185" s="23">
        <v>183</v>
      </c>
      <c r="B185" s="28">
        <v>45989</v>
      </c>
      <c r="C185" s="25" t="s">
        <v>39</v>
      </c>
      <c r="D185">
        <v>3.93</v>
      </c>
      <c r="F185" s="27" t="s">
        <v>24</v>
      </c>
      <c r="G185" s="35" t="s">
        <v>43</v>
      </c>
      <c r="H185" s="32" t="str">
        <f>VLOOKUP(G185,Codigo!$A$2:$B$46,2,FALSE)</f>
        <v>Outras Subministracións</v>
      </c>
      <c r="I185" s="27" t="s">
        <v>296</v>
      </c>
    </row>
    <row r="186" spans="1:11" ht="15" customHeight="1" x14ac:dyDescent="0.25">
      <c r="A186" s="23">
        <v>184</v>
      </c>
      <c r="B186" s="28">
        <v>45989</v>
      </c>
      <c r="C186" s="25" t="s">
        <v>39</v>
      </c>
      <c r="D186">
        <v>95.99</v>
      </c>
      <c r="F186" s="27" t="s">
        <v>24</v>
      </c>
      <c r="G186" s="35" t="s">
        <v>43</v>
      </c>
      <c r="H186" s="32" t="str">
        <f>VLOOKUP(G186,Codigo!$A$2:$B$46,2,FALSE)</f>
        <v>Outras Subministracións</v>
      </c>
      <c r="I186" s="27" t="s">
        <v>296</v>
      </c>
    </row>
    <row r="187" spans="1:11" ht="15" customHeight="1" x14ac:dyDescent="0.25">
      <c r="A187" s="23">
        <v>185</v>
      </c>
      <c r="B187" s="28">
        <v>45994</v>
      </c>
      <c r="C187" s="25" t="s">
        <v>39</v>
      </c>
      <c r="D187">
        <v>11.75</v>
      </c>
      <c r="F187" s="27" t="s">
        <v>24</v>
      </c>
      <c r="G187" s="35" t="s">
        <v>43</v>
      </c>
      <c r="H187" s="32" t="str">
        <f>VLOOKUP(G187,Codigo!$A$2:$B$46,2,FALSE)</f>
        <v>Outras Subministracións</v>
      </c>
      <c r="I187" s="27" t="s">
        <v>296</v>
      </c>
    </row>
    <row r="188" spans="1:11" ht="15" customHeight="1" x14ac:dyDescent="0.25">
      <c r="A188" s="23">
        <v>186</v>
      </c>
      <c r="B188" s="28">
        <v>45994</v>
      </c>
      <c r="C188" s="25" t="s">
        <v>275</v>
      </c>
      <c r="D188">
        <v>29.94</v>
      </c>
      <c r="F188" s="27" t="s">
        <v>24</v>
      </c>
      <c r="G188" s="35" t="s">
        <v>43</v>
      </c>
      <c r="H188" s="32" t="str">
        <f>VLOOKUP(G188,Codigo!$A$2:$B$46,2,FALSE)</f>
        <v>Outras Subministracións</v>
      </c>
      <c r="I188" s="27" t="s">
        <v>296</v>
      </c>
    </row>
    <row r="189" spans="1:11" ht="15" customHeight="1" x14ac:dyDescent="0.25">
      <c r="A189" s="23">
        <v>187</v>
      </c>
      <c r="B189" s="28">
        <v>45994</v>
      </c>
      <c r="C189" s="25" t="s">
        <v>48</v>
      </c>
      <c r="D189">
        <v>40.479999999999997</v>
      </c>
      <c r="F189" s="27" t="s">
        <v>24</v>
      </c>
      <c r="G189" s="35" t="s">
        <v>35</v>
      </c>
      <c r="H189" s="32" t="str">
        <f>VLOOKUP(G189,Codigo!$A$2:$B$46,2,FALSE)</f>
        <v>Gastos diversos</v>
      </c>
      <c r="I189" s="27" t="s">
        <v>296</v>
      </c>
      <c r="K189" s="7" t="s">
        <v>49</v>
      </c>
    </row>
    <row r="190" spans="1:11" ht="15" customHeight="1" x14ac:dyDescent="0.25">
      <c r="A190" s="23">
        <v>188</v>
      </c>
      <c r="B190" s="28">
        <v>45994</v>
      </c>
      <c r="C190" s="25" t="s">
        <v>126</v>
      </c>
      <c r="D190">
        <v>74.510000000000005</v>
      </c>
      <c r="F190" s="27" t="s">
        <v>24</v>
      </c>
      <c r="G190" s="35" t="s">
        <v>35</v>
      </c>
      <c r="H190" s="32" t="str">
        <f>VLOOKUP(G190,Codigo!$A$2:$B$46,2,FALSE)</f>
        <v>Gastos diversos</v>
      </c>
      <c r="I190" s="27" t="s">
        <v>296</v>
      </c>
      <c r="K190" t="s">
        <v>276</v>
      </c>
    </row>
    <row r="191" spans="1:11" ht="15" customHeight="1" x14ac:dyDescent="0.25">
      <c r="A191" s="23">
        <v>189</v>
      </c>
      <c r="B191" s="28">
        <v>45994</v>
      </c>
      <c r="C191" s="25" t="s">
        <v>277</v>
      </c>
      <c r="D191">
        <v>235.44</v>
      </c>
      <c r="F191" s="27" t="s">
        <v>24</v>
      </c>
      <c r="G191" s="35" t="s">
        <v>35</v>
      </c>
      <c r="H191" s="32" t="str">
        <f>VLOOKUP(G191,Codigo!$A$2:$B$46,2,FALSE)</f>
        <v>Gastos diversos</v>
      </c>
      <c r="I191" s="27" t="s">
        <v>296</v>
      </c>
      <c r="K191" t="s">
        <v>278</v>
      </c>
    </row>
    <row r="192" spans="1:11" ht="15" customHeight="1" x14ac:dyDescent="0.25">
      <c r="A192" s="23">
        <v>190</v>
      </c>
      <c r="B192" s="28">
        <v>45995</v>
      </c>
      <c r="C192" s="25" t="s">
        <v>238</v>
      </c>
      <c r="D192">
        <v>30</v>
      </c>
      <c r="F192" s="27" t="s">
        <v>24</v>
      </c>
      <c r="G192" s="35" t="s">
        <v>43</v>
      </c>
      <c r="H192" s="32" t="str">
        <f>VLOOKUP(G192,Codigo!$A$2:$B$46,2,FALSE)</f>
        <v>Outras Subministracións</v>
      </c>
      <c r="I192" s="27" t="s">
        <v>296</v>
      </c>
    </row>
    <row r="193" spans="1:12" ht="15" customHeight="1" x14ac:dyDescent="0.25">
      <c r="A193" s="23">
        <v>191</v>
      </c>
      <c r="B193" s="28">
        <v>45995</v>
      </c>
      <c r="C193" s="25" t="s">
        <v>238</v>
      </c>
      <c r="D193">
        <v>50.7</v>
      </c>
      <c r="F193" s="27" t="s">
        <v>24</v>
      </c>
      <c r="G193" s="35" t="s">
        <v>43</v>
      </c>
      <c r="H193" s="32" t="str">
        <f>VLOOKUP(G193,Codigo!$A$2:$B$46,2,FALSE)</f>
        <v>Outras Subministracións</v>
      </c>
      <c r="I193" s="27" t="s">
        <v>296</v>
      </c>
    </row>
    <row r="194" spans="1:12" ht="15" customHeight="1" x14ac:dyDescent="0.25">
      <c r="A194" s="23">
        <v>192</v>
      </c>
      <c r="B194" s="28">
        <v>45996</v>
      </c>
      <c r="C194" s="25" t="s">
        <v>279</v>
      </c>
      <c r="D194">
        <v>76.540000000000006</v>
      </c>
      <c r="F194" s="27" t="s">
        <v>24</v>
      </c>
      <c r="G194" s="35" t="s">
        <v>29</v>
      </c>
      <c r="H194" s="32" t="str">
        <f>VLOOKUP(G194,Codigo!$A$2:$B$46,2,FALSE)</f>
        <v>Reparacións</v>
      </c>
      <c r="I194" s="27" t="s">
        <v>296</v>
      </c>
    </row>
    <row r="195" spans="1:12" ht="15" customHeight="1" x14ac:dyDescent="0.25">
      <c r="A195" s="23">
        <v>193</v>
      </c>
      <c r="B195" s="28">
        <v>45996</v>
      </c>
      <c r="C195" s="25" t="s">
        <v>113</v>
      </c>
      <c r="D195">
        <v>150.9</v>
      </c>
      <c r="F195" s="27" t="s">
        <v>24</v>
      </c>
      <c r="G195" s="35" t="s">
        <v>35</v>
      </c>
      <c r="H195" s="32" t="str">
        <f>VLOOKUP(G195,Codigo!$A$2:$B$46,2,FALSE)</f>
        <v>Gastos diversos</v>
      </c>
      <c r="I195" s="27" t="s">
        <v>296</v>
      </c>
      <c r="K195" s="7" t="s">
        <v>49</v>
      </c>
    </row>
    <row r="196" spans="1:12" ht="15" customHeight="1" x14ac:dyDescent="0.25">
      <c r="A196" s="23">
        <v>194</v>
      </c>
      <c r="B196" s="28">
        <v>46002</v>
      </c>
      <c r="C196" s="25" t="s">
        <v>120</v>
      </c>
      <c r="D196">
        <v>265.29000000000002</v>
      </c>
      <c r="F196" s="27" t="s">
        <v>24</v>
      </c>
      <c r="G196" s="35" t="s">
        <v>25</v>
      </c>
      <c r="H196" s="32" t="str">
        <f>VLOOKUP(G196,Codigo!$A$2:$B$46,2,FALSE)</f>
        <v>Arredamientos</v>
      </c>
      <c r="I196" s="27" t="s">
        <v>296</v>
      </c>
    </row>
    <row r="197" spans="1:12" ht="15" customHeight="1" x14ac:dyDescent="0.25">
      <c r="A197" s="23">
        <v>195</v>
      </c>
      <c r="B197" s="28">
        <v>46003</v>
      </c>
      <c r="C197" s="25" t="s">
        <v>46</v>
      </c>
      <c r="D197">
        <v>158.91999999999999</v>
      </c>
      <c r="F197" s="27" t="s">
        <v>24</v>
      </c>
      <c r="G197" s="35" t="s">
        <v>35</v>
      </c>
      <c r="H197" s="32" t="str">
        <f>VLOOKUP(G197,Codigo!$A$2:$B$46,2,FALSE)</f>
        <v>Gastos diversos</v>
      </c>
      <c r="I197" s="27" t="s">
        <v>296</v>
      </c>
    </row>
    <row r="198" spans="1:12" ht="15" customHeight="1" x14ac:dyDescent="0.25">
      <c r="A198" s="23">
        <v>196</v>
      </c>
      <c r="B198" s="28">
        <v>46003</v>
      </c>
      <c r="C198" s="25" t="s">
        <v>254</v>
      </c>
      <c r="D198">
        <v>177.15</v>
      </c>
      <c r="F198" s="27" t="s">
        <v>24</v>
      </c>
      <c r="G198" s="35" t="s">
        <v>35</v>
      </c>
      <c r="H198" s="32" t="str">
        <f>VLOOKUP(G198,Codigo!$A$2:$B$46,2,FALSE)</f>
        <v>Gastos diversos</v>
      </c>
      <c r="I198" s="27" t="s">
        <v>296</v>
      </c>
      <c r="K198" s="7" t="s">
        <v>49</v>
      </c>
    </row>
    <row r="199" spans="1:12" ht="15" customHeight="1" x14ac:dyDescent="0.25">
      <c r="A199" s="23">
        <v>197</v>
      </c>
      <c r="B199" s="28">
        <v>46003</v>
      </c>
      <c r="C199" s="25" t="s">
        <v>34</v>
      </c>
      <c r="D199">
        <v>175</v>
      </c>
      <c r="F199" s="27" t="s">
        <v>24</v>
      </c>
      <c r="G199" s="35" t="s">
        <v>35</v>
      </c>
      <c r="H199" s="32" t="str">
        <f>VLOOKUP(G199,Codigo!$A$2:$B$46,2,FALSE)</f>
        <v>Gastos diversos</v>
      </c>
      <c r="I199" s="27" t="s">
        <v>296</v>
      </c>
      <c r="K199" t="s">
        <v>269</v>
      </c>
      <c r="L199" t="s">
        <v>249</v>
      </c>
    </row>
    <row r="200" spans="1:12" ht="15" customHeight="1" x14ac:dyDescent="0.25">
      <c r="A200" s="23">
        <v>198</v>
      </c>
      <c r="B200" s="28">
        <v>46003</v>
      </c>
      <c r="C200" s="25" t="s">
        <v>34</v>
      </c>
      <c r="D200">
        <v>175</v>
      </c>
      <c r="F200" s="27" t="s">
        <v>24</v>
      </c>
      <c r="G200" s="35" t="s">
        <v>35</v>
      </c>
      <c r="H200" s="32" t="str">
        <f>VLOOKUP(G200,Codigo!$A$2:$B$46,2,FALSE)</f>
        <v>Gastos diversos</v>
      </c>
      <c r="I200" s="27" t="s">
        <v>296</v>
      </c>
      <c r="K200" t="s">
        <v>280</v>
      </c>
      <c r="L200" t="s">
        <v>38</v>
      </c>
    </row>
    <row r="201" spans="1:12" ht="15" customHeight="1" x14ac:dyDescent="0.25">
      <c r="A201" s="23">
        <v>199</v>
      </c>
      <c r="B201" s="28">
        <v>46003</v>
      </c>
      <c r="C201" s="25" t="s">
        <v>34</v>
      </c>
      <c r="D201">
        <v>105</v>
      </c>
      <c r="F201" s="27" t="s">
        <v>24</v>
      </c>
      <c r="G201" s="35" t="s">
        <v>35</v>
      </c>
      <c r="H201" s="32" t="str">
        <f>VLOOKUP(G201,Codigo!$A$2:$B$46,2,FALSE)</f>
        <v>Gastos diversos</v>
      </c>
      <c r="I201" s="27" t="s">
        <v>296</v>
      </c>
      <c r="K201" t="s">
        <v>269</v>
      </c>
      <c r="L201" t="s">
        <v>249</v>
      </c>
    </row>
    <row r="202" spans="1:12" ht="15" customHeight="1" x14ac:dyDescent="0.25">
      <c r="A202" s="23">
        <v>200</v>
      </c>
      <c r="B202" s="28">
        <v>46003</v>
      </c>
      <c r="C202" s="25" t="s">
        <v>34</v>
      </c>
      <c r="D202">
        <v>400</v>
      </c>
      <c r="F202" s="27" t="s">
        <v>24</v>
      </c>
      <c r="G202" s="35" t="s">
        <v>35</v>
      </c>
      <c r="H202" s="32" t="str">
        <f>VLOOKUP(G202,Codigo!$A$2:$B$46,2,FALSE)</f>
        <v>Gastos diversos</v>
      </c>
      <c r="I202" s="27" t="s">
        <v>296</v>
      </c>
      <c r="K202" t="s">
        <v>268</v>
      </c>
      <c r="L202" t="s">
        <v>81</v>
      </c>
    </row>
    <row r="203" spans="1:12" ht="15" customHeight="1" x14ac:dyDescent="0.25">
      <c r="A203" s="23">
        <v>201</v>
      </c>
      <c r="B203" s="28">
        <v>46003</v>
      </c>
      <c r="C203" s="25" t="s">
        <v>34</v>
      </c>
      <c r="D203">
        <v>105</v>
      </c>
      <c r="F203" s="27" t="s">
        <v>24</v>
      </c>
      <c r="G203" s="35" t="s">
        <v>35</v>
      </c>
      <c r="H203" s="32" t="str">
        <f>VLOOKUP(G203,Codigo!$A$2:$B$46,2,FALSE)</f>
        <v>Gastos diversos</v>
      </c>
      <c r="I203" s="27" t="s">
        <v>296</v>
      </c>
      <c r="K203" t="s">
        <v>280</v>
      </c>
      <c r="L203" t="s">
        <v>38</v>
      </c>
    </row>
    <row r="204" spans="1:12" ht="15" customHeight="1" x14ac:dyDescent="0.25">
      <c r="A204" s="23">
        <v>202</v>
      </c>
      <c r="B204" s="28">
        <v>46003</v>
      </c>
      <c r="C204" s="25" t="s">
        <v>114</v>
      </c>
      <c r="D204">
        <v>20.9</v>
      </c>
      <c r="F204" s="27" t="s">
        <v>24</v>
      </c>
      <c r="G204" s="35" t="s">
        <v>43</v>
      </c>
      <c r="H204" s="32" t="str">
        <f>VLOOKUP(G204,Codigo!$A$2:$B$46,2,FALSE)</f>
        <v>Outras Subministracións</v>
      </c>
      <c r="I204" s="27" t="s">
        <v>296</v>
      </c>
    </row>
    <row r="205" spans="1:12" ht="15" customHeight="1" x14ac:dyDescent="0.25">
      <c r="A205" s="23">
        <v>203</v>
      </c>
      <c r="B205" s="28">
        <v>46003</v>
      </c>
      <c r="C205" s="25" t="s">
        <v>281</v>
      </c>
      <c r="D205">
        <v>16.8</v>
      </c>
      <c r="F205" s="27" t="s">
        <v>24</v>
      </c>
      <c r="G205" s="35" t="s">
        <v>43</v>
      </c>
      <c r="H205" s="32" t="str">
        <f>VLOOKUP(G205,Codigo!$A$2:$B$46,2,FALSE)</f>
        <v>Outras Subministracións</v>
      </c>
      <c r="I205" s="27" t="s">
        <v>296</v>
      </c>
    </row>
    <row r="206" spans="1:12" ht="15" customHeight="1" x14ac:dyDescent="0.25">
      <c r="A206" s="23">
        <v>204</v>
      </c>
      <c r="B206" s="28">
        <v>46007</v>
      </c>
      <c r="C206" s="25" t="s">
        <v>282</v>
      </c>
      <c r="E206">
        <v>1000</v>
      </c>
      <c r="F206" s="27" t="s">
        <v>20</v>
      </c>
      <c r="G206" s="35" t="s">
        <v>207</v>
      </c>
      <c r="H206" s="32" t="str">
        <f>VLOOKUP(G206,Codigo!$A$2:$B$46,2,FALSE)</f>
        <v>Fondos innovación</v>
      </c>
      <c r="I206" s="27" t="s">
        <v>296</v>
      </c>
      <c r="K206" t="s">
        <v>283</v>
      </c>
    </row>
    <row r="207" spans="1:12" ht="15" customHeight="1" x14ac:dyDescent="0.25">
      <c r="A207" s="23">
        <v>205</v>
      </c>
      <c r="B207" s="28">
        <v>46007</v>
      </c>
      <c r="C207" s="25" t="s">
        <v>39</v>
      </c>
      <c r="D207">
        <v>20.9</v>
      </c>
      <c r="F207" s="27" t="s">
        <v>24</v>
      </c>
      <c r="G207" s="35" t="s">
        <v>43</v>
      </c>
      <c r="H207" s="32" t="str">
        <f>VLOOKUP(G207,Codigo!$A$2:$B$46,2,FALSE)</f>
        <v>Outras Subministracións</v>
      </c>
      <c r="I207" s="27" t="s">
        <v>296</v>
      </c>
    </row>
    <row r="208" spans="1:12" ht="15" customHeight="1" x14ac:dyDescent="0.25">
      <c r="A208" s="23">
        <v>206</v>
      </c>
      <c r="B208" s="28">
        <v>46007</v>
      </c>
      <c r="C208" s="25" t="s">
        <v>39</v>
      </c>
      <c r="D208">
        <v>42.3</v>
      </c>
      <c r="F208" s="27" t="s">
        <v>24</v>
      </c>
      <c r="G208" s="35" t="s">
        <v>43</v>
      </c>
      <c r="H208" s="32" t="str">
        <f>VLOOKUP(G208,Codigo!$A$2:$B$46,2,FALSE)</f>
        <v>Outras Subministracións</v>
      </c>
      <c r="I208" s="27" t="s">
        <v>296</v>
      </c>
    </row>
    <row r="209" spans="1:11" ht="15" customHeight="1" x14ac:dyDescent="0.25">
      <c r="A209" s="23">
        <v>207</v>
      </c>
      <c r="B209" s="28">
        <v>46008</v>
      </c>
      <c r="C209" s="25" t="s">
        <v>285</v>
      </c>
      <c r="D209">
        <v>19.3</v>
      </c>
      <c r="F209" s="27" t="s">
        <v>24</v>
      </c>
      <c r="G209" s="35" t="s">
        <v>43</v>
      </c>
      <c r="H209" s="32" t="str">
        <f>VLOOKUP(G209,Codigo!$A$2:$B$46,2,FALSE)</f>
        <v>Outras Subministracións</v>
      </c>
      <c r="I209" s="27" t="s">
        <v>296</v>
      </c>
    </row>
    <row r="210" spans="1:11" ht="15" customHeight="1" x14ac:dyDescent="0.25">
      <c r="A210" s="23">
        <v>208</v>
      </c>
      <c r="B210" s="28">
        <v>46010</v>
      </c>
      <c r="C210" s="25" t="s">
        <v>233</v>
      </c>
      <c r="D210">
        <v>20.100000000000001</v>
      </c>
      <c r="F210" s="27" t="s">
        <v>24</v>
      </c>
      <c r="G210" s="35" t="s">
        <v>35</v>
      </c>
      <c r="H210" s="32" t="str">
        <f>VLOOKUP(G210,Codigo!$A$2:$B$46,2,FALSE)</f>
        <v>Gastos diversos</v>
      </c>
      <c r="I210" s="27" t="s">
        <v>296</v>
      </c>
    </row>
    <row r="211" spans="1:11" ht="15" customHeight="1" x14ac:dyDescent="0.25">
      <c r="A211" s="23">
        <v>209</v>
      </c>
      <c r="B211" s="28">
        <v>46010</v>
      </c>
      <c r="C211" s="25" t="s">
        <v>286</v>
      </c>
      <c r="D211">
        <v>19.600000000000001</v>
      </c>
      <c r="F211" s="27" t="s">
        <v>24</v>
      </c>
      <c r="G211" s="35" t="s">
        <v>43</v>
      </c>
      <c r="H211" s="32" t="str">
        <f>VLOOKUP(G211,Codigo!$A$2:$B$46,2,FALSE)</f>
        <v>Outras Subministracións</v>
      </c>
      <c r="I211" s="27" t="s">
        <v>296</v>
      </c>
    </row>
    <row r="212" spans="1:11" ht="15" customHeight="1" x14ac:dyDescent="0.25">
      <c r="A212" s="23">
        <v>210</v>
      </c>
      <c r="B212" s="28">
        <v>46021</v>
      </c>
      <c r="C212" s="4" t="s">
        <v>75</v>
      </c>
      <c r="E212">
        <v>6558</v>
      </c>
      <c r="F212" s="27" t="s">
        <v>20</v>
      </c>
      <c r="G212" s="35" t="s">
        <v>76</v>
      </c>
      <c r="H212" s="32" t="str">
        <f>VLOOKUP(G212,Codigo!$A$2:$B$46,2,FALSE)</f>
        <v>Gastos de funcionamento</v>
      </c>
      <c r="I212" s="27" t="s">
        <v>296</v>
      </c>
    </row>
    <row r="213" spans="1:11" ht="15" customHeight="1" x14ac:dyDescent="0.25">
      <c r="A213" s="23">
        <v>211</v>
      </c>
      <c r="B213" s="28">
        <v>46021</v>
      </c>
      <c r="C213" s="25" t="s">
        <v>126</v>
      </c>
      <c r="D213">
        <v>474.9</v>
      </c>
      <c r="F213" s="27" t="s">
        <v>24</v>
      </c>
      <c r="G213" s="35" t="s">
        <v>35</v>
      </c>
      <c r="H213" s="32" t="str">
        <f>VLOOKUP(G213,Codigo!$A$2:$B$46,2,FALSE)</f>
        <v>Gastos diversos</v>
      </c>
      <c r="I213" s="27" t="s">
        <v>296</v>
      </c>
    </row>
    <row r="214" spans="1:11" ht="15" customHeight="1" x14ac:dyDescent="0.25">
      <c r="A214" s="23">
        <v>212</v>
      </c>
      <c r="B214" s="28">
        <v>46021</v>
      </c>
      <c r="C214" s="25" t="s">
        <v>126</v>
      </c>
      <c r="D214">
        <v>87.54</v>
      </c>
      <c r="F214" s="27" t="s">
        <v>24</v>
      </c>
      <c r="G214" s="35" t="s">
        <v>35</v>
      </c>
      <c r="H214" s="32" t="str">
        <f>VLOOKUP(G214,Codigo!$A$2:$B$46,2,FALSE)</f>
        <v>Gastos diversos</v>
      </c>
      <c r="I214" s="27" t="s">
        <v>296</v>
      </c>
      <c r="K214" t="s">
        <v>287</v>
      </c>
    </row>
    <row r="215" spans="1:11" ht="15" customHeight="1" x14ac:dyDescent="0.25">
      <c r="A215" s="23">
        <v>213</v>
      </c>
      <c r="B215" s="28">
        <v>46021</v>
      </c>
      <c r="C215" s="25" t="s">
        <v>126</v>
      </c>
      <c r="D215">
        <v>137.84</v>
      </c>
      <c r="F215" s="27" t="s">
        <v>24</v>
      </c>
      <c r="G215" s="35" t="s">
        <v>35</v>
      </c>
      <c r="H215" s="32" t="str">
        <f>VLOOKUP(G215,Codigo!$A$2:$B$46,2,FALSE)</f>
        <v>Gastos diversos</v>
      </c>
      <c r="I215" s="27" t="s">
        <v>296</v>
      </c>
      <c r="K215" t="s">
        <v>278</v>
      </c>
    </row>
    <row r="216" spans="1:11" ht="15" customHeight="1" x14ac:dyDescent="0.25">
      <c r="A216" s="23">
        <v>214</v>
      </c>
      <c r="B216" s="28">
        <v>46021</v>
      </c>
      <c r="C216" s="25" t="s">
        <v>261</v>
      </c>
      <c r="D216">
        <v>108</v>
      </c>
      <c r="F216" s="27" t="s">
        <v>24</v>
      </c>
      <c r="G216" s="35" t="s">
        <v>29</v>
      </c>
      <c r="H216" s="32" t="str">
        <f>VLOOKUP(G216,Codigo!$A$2:$B$46,2,FALSE)</f>
        <v>Reparacións</v>
      </c>
      <c r="I216" s="27" t="s">
        <v>296</v>
      </c>
    </row>
    <row r="217" spans="1:11" ht="15" customHeight="1" x14ac:dyDescent="0.25">
      <c r="A217" s="23">
        <v>215</v>
      </c>
      <c r="B217" s="28">
        <v>46021</v>
      </c>
      <c r="C217" s="25" t="s">
        <v>261</v>
      </c>
      <c r="D217">
        <v>975.5</v>
      </c>
      <c r="F217" s="27" t="s">
        <v>24</v>
      </c>
      <c r="G217" s="35" t="s">
        <v>29</v>
      </c>
      <c r="H217" s="32" t="str">
        <f>VLOOKUP(G217,Codigo!$A$2:$B$46,2,FALSE)</f>
        <v>Reparacións</v>
      </c>
      <c r="I217" s="27" t="s">
        <v>296</v>
      </c>
    </row>
    <row r="218" spans="1:11" ht="15" customHeight="1" x14ac:dyDescent="0.25">
      <c r="A218" s="23">
        <v>216</v>
      </c>
      <c r="B218" s="28">
        <v>46021</v>
      </c>
      <c r="C218" s="25" t="s">
        <v>293</v>
      </c>
      <c r="D218">
        <v>989.3</v>
      </c>
      <c r="F218" s="27" t="s">
        <v>24</v>
      </c>
      <c r="G218" s="35" t="s">
        <v>187</v>
      </c>
      <c r="H218" s="32" t="str">
        <f>VLOOKUP(G218,Codigo!$A$2:$B$46,2,FALSE)</f>
        <v>Mobiliario e utensilios inventariables</v>
      </c>
      <c r="I218" s="27" t="s">
        <v>296</v>
      </c>
      <c r="K218" t="s">
        <v>288</v>
      </c>
    </row>
    <row r="219" spans="1:11" ht="15" customHeight="1" x14ac:dyDescent="0.25">
      <c r="A219" s="23">
        <v>217</v>
      </c>
      <c r="B219" s="28">
        <v>46021</v>
      </c>
      <c r="C219" s="25" t="s">
        <v>289</v>
      </c>
      <c r="D219">
        <v>78.989999999999995</v>
      </c>
      <c r="F219" s="27" t="s">
        <v>24</v>
      </c>
      <c r="G219" s="35" t="s">
        <v>35</v>
      </c>
      <c r="H219" s="32" t="str">
        <f>VLOOKUP(G219,Codigo!$A$2:$B$46,2,FALSE)</f>
        <v>Gastos diversos</v>
      </c>
      <c r="I219" s="27" t="s">
        <v>296</v>
      </c>
      <c r="K219" t="s">
        <v>290</v>
      </c>
    </row>
    <row r="220" spans="1:11" ht="15" customHeight="1" x14ac:dyDescent="0.25">
      <c r="A220" s="23">
        <v>218</v>
      </c>
      <c r="B220" s="28">
        <v>46021</v>
      </c>
      <c r="C220" s="25" t="s">
        <v>291</v>
      </c>
      <c r="D220">
        <v>390</v>
      </c>
      <c r="F220" s="27" t="s">
        <v>24</v>
      </c>
      <c r="G220" s="35" t="s">
        <v>35</v>
      </c>
      <c r="H220" s="32" t="str">
        <f>VLOOKUP(G220,Codigo!$A$2:$B$46,2,FALSE)</f>
        <v>Gastos diversos</v>
      </c>
      <c r="I220" s="27" t="s">
        <v>296</v>
      </c>
      <c r="K220" t="s">
        <v>276</v>
      </c>
    </row>
    <row r="221" spans="1:11" ht="15" customHeight="1" x14ac:dyDescent="0.25">
      <c r="A221" s="23">
        <v>219</v>
      </c>
      <c r="B221" s="28">
        <v>46021</v>
      </c>
      <c r="C221" s="25" t="s">
        <v>126</v>
      </c>
      <c r="D221">
        <v>36.51</v>
      </c>
      <c r="F221" s="27" t="s">
        <v>24</v>
      </c>
      <c r="G221" s="35" t="s">
        <v>35</v>
      </c>
      <c r="H221" s="32" t="str">
        <f>VLOOKUP(G221,Codigo!$A$2:$B$46,2,FALSE)</f>
        <v>Gastos diversos</v>
      </c>
      <c r="I221" s="27" t="s">
        <v>296</v>
      </c>
      <c r="K221" t="s">
        <v>276</v>
      </c>
    </row>
    <row r="222" spans="1:11" ht="15" customHeight="1" x14ac:dyDescent="0.25">
      <c r="A222" s="23">
        <v>220</v>
      </c>
      <c r="B222" s="28">
        <v>46031</v>
      </c>
      <c r="C222" s="25" t="s">
        <v>292</v>
      </c>
      <c r="D222">
        <v>153</v>
      </c>
      <c r="F222" s="27" t="s">
        <v>24</v>
      </c>
      <c r="G222" s="35" t="s">
        <v>35</v>
      </c>
      <c r="H222" s="32" t="str">
        <f>VLOOKUP(G222,Codigo!$A$2:$B$46,2,FALSE)</f>
        <v>Gastos diversos</v>
      </c>
      <c r="I222" s="27" t="s">
        <v>296</v>
      </c>
      <c r="K222" t="s">
        <v>269</v>
      </c>
    </row>
    <row r="223" spans="1:11" ht="15" customHeight="1" x14ac:dyDescent="0.25">
      <c r="A223" s="23">
        <v>221</v>
      </c>
      <c r="B223" s="28">
        <v>46031</v>
      </c>
      <c r="C223" s="25" t="s">
        <v>292</v>
      </c>
      <c r="D223">
        <v>120</v>
      </c>
      <c r="F223" s="27" t="s">
        <v>24</v>
      </c>
      <c r="G223" s="35" t="s">
        <v>35</v>
      </c>
      <c r="H223" s="32" t="str">
        <f>VLOOKUP(G223,Codigo!$A$2:$B$46,2,FALSE)</f>
        <v>Gastos diversos</v>
      </c>
      <c r="I223" s="27" t="s">
        <v>296</v>
      </c>
      <c r="K223" t="s">
        <v>269</v>
      </c>
    </row>
    <row r="224" spans="1:11" ht="15" customHeight="1" x14ac:dyDescent="0.25">
      <c r="A224" s="23">
        <v>222</v>
      </c>
      <c r="B224" s="28">
        <v>46031</v>
      </c>
      <c r="C224" s="25" t="s">
        <v>293</v>
      </c>
      <c r="D224">
        <v>610.70000000000005</v>
      </c>
      <c r="F224" s="27" t="s">
        <v>24</v>
      </c>
      <c r="G224" s="35" t="s">
        <v>35</v>
      </c>
      <c r="H224" s="32" t="str">
        <f>VLOOKUP(G224,Codigo!$A$2:$B$46,2,FALSE)</f>
        <v>Gastos diversos</v>
      </c>
      <c r="I224" s="27" t="s">
        <v>296</v>
      </c>
      <c r="K224" t="s">
        <v>288</v>
      </c>
    </row>
    <row r="225" spans="1:11" ht="15" customHeight="1" x14ac:dyDescent="0.25">
      <c r="A225" s="23">
        <v>223</v>
      </c>
      <c r="B225" s="28">
        <v>46035</v>
      </c>
      <c r="C225" s="25" t="s">
        <v>75</v>
      </c>
      <c r="E225">
        <v>555</v>
      </c>
      <c r="F225" s="27" t="s">
        <v>20</v>
      </c>
      <c r="G225" s="35" t="s">
        <v>210</v>
      </c>
      <c r="H225" s="32" t="str">
        <f>VLOOKUP(G225,Codigo!$A$2:$B$46,2,FALSE)</f>
        <v>Otros</v>
      </c>
      <c r="I225" s="27" t="s">
        <v>296</v>
      </c>
      <c r="K225" t="s">
        <v>298</v>
      </c>
    </row>
    <row r="226" spans="1:11" ht="15" customHeight="1" x14ac:dyDescent="0.25">
      <c r="A226" s="23">
        <v>224</v>
      </c>
      <c r="B226" s="28">
        <v>46055</v>
      </c>
      <c r="C226" s="25" t="s">
        <v>75</v>
      </c>
      <c r="E226">
        <v>825</v>
      </c>
      <c r="F226" s="27" t="s">
        <v>20</v>
      </c>
      <c r="G226" s="35" t="s">
        <v>207</v>
      </c>
      <c r="H226" s="32" t="str">
        <f>VLOOKUP(G226,Codigo!$A$2:$B$46,2,FALSE)</f>
        <v>Fondos innovación</v>
      </c>
      <c r="I226" s="27" t="s">
        <v>296</v>
      </c>
      <c r="K226" t="s">
        <v>310</v>
      </c>
    </row>
    <row r="227" spans="1:11" ht="15" customHeight="1" x14ac:dyDescent="0.25">
      <c r="A227" s="23">
        <v>225</v>
      </c>
      <c r="B227" s="28">
        <v>46055</v>
      </c>
      <c r="C227" s="25" t="s">
        <v>264</v>
      </c>
      <c r="E227">
        <v>80</v>
      </c>
      <c r="F227" s="27" t="s">
        <v>20</v>
      </c>
      <c r="G227" s="35" t="s">
        <v>194</v>
      </c>
      <c r="H227" s="32" t="str">
        <f>VLOOKUP(G227,Codigo!$A$2:$B$46,2,FALSE)</f>
        <v>Fondo solidario libros</v>
      </c>
      <c r="I227" s="27" t="s">
        <v>296</v>
      </c>
      <c r="K227" t="s">
        <v>295</v>
      </c>
    </row>
    <row r="228" spans="1:11" ht="15" customHeight="1" x14ac:dyDescent="0.25">
      <c r="G228" s="11"/>
      <c r="H228" s="11"/>
    </row>
    <row r="229" spans="1:11" ht="15" customHeight="1" x14ac:dyDescent="0.25">
      <c r="G229" s="11"/>
      <c r="H229" s="11"/>
    </row>
    <row r="230" spans="1:11" ht="15" customHeight="1" x14ac:dyDescent="0.25">
      <c r="G230" s="11"/>
      <c r="H230" s="11"/>
    </row>
    <row r="231" spans="1:11" ht="15" customHeight="1" x14ac:dyDescent="0.25">
      <c r="G231" s="11"/>
      <c r="H231" s="11"/>
    </row>
    <row r="232" spans="1:11" ht="15" customHeight="1" x14ac:dyDescent="0.25">
      <c r="G232" s="11"/>
      <c r="H232" s="11"/>
    </row>
    <row r="233" spans="1:11" ht="15" customHeight="1" x14ac:dyDescent="0.25">
      <c r="G233" s="11"/>
      <c r="H233" s="11"/>
    </row>
    <row r="234" spans="1:11" ht="15" customHeight="1" x14ac:dyDescent="0.25">
      <c r="G234" s="11"/>
      <c r="H234" s="11"/>
    </row>
    <row r="235" spans="1:11" ht="15" customHeight="1" x14ac:dyDescent="0.25">
      <c r="G235" s="11"/>
      <c r="H235" s="11"/>
    </row>
    <row r="236" spans="1:11" ht="15" customHeight="1" x14ac:dyDescent="0.25">
      <c r="G236" s="11"/>
      <c r="H236" s="11"/>
    </row>
    <row r="237" spans="1:11" ht="15" customHeight="1" x14ac:dyDescent="0.25">
      <c r="G237" s="11"/>
      <c r="H237" s="11"/>
    </row>
    <row r="238" spans="1:11" ht="15" customHeight="1" x14ac:dyDescent="0.25">
      <c r="G238" s="11"/>
      <c r="H238" s="11"/>
    </row>
    <row r="239" spans="1:11" ht="15" customHeight="1" x14ac:dyDescent="0.25">
      <c r="G239" s="11"/>
      <c r="H239" s="11"/>
    </row>
    <row r="240" spans="1:11" ht="15" customHeight="1" x14ac:dyDescent="0.25">
      <c r="G240" s="11"/>
      <c r="H240" s="11"/>
    </row>
    <row r="241" spans="7:8" ht="15" customHeight="1" x14ac:dyDescent="0.25">
      <c r="G241" s="11"/>
      <c r="H241" s="11"/>
    </row>
    <row r="242" spans="7:8" ht="15" customHeight="1" x14ac:dyDescent="0.25">
      <c r="G242" s="11"/>
      <c r="H242" s="11"/>
    </row>
    <row r="243" spans="7:8" ht="15" customHeight="1" x14ac:dyDescent="0.25">
      <c r="G243" s="11"/>
      <c r="H243" s="11"/>
    </row>
    <row r="244" spans="7:8" ht="15" customHeight="1" x14ac:dyDescent="0.25">
      <c r="G244" s="11"/>
      <c r="H244" s="11"/>
    </row>
    <row r="245" spans="7:8" ht="15" customHeight="1" x14ac:dyDescent="0.25">
      <c r="G245" s="11"/>
      <c r="H245" s="11"/>
    </row>
    <row r="246" spans="7:8" ht="15" customHeight="1" x14ac:dyDescent="0.25">
      <c r="G246" s="11"/>
      <c r="H246" s="11"/>
    </row>
    <row r="247" spans="7:8" ht="15" customHeight="1" x14ac:dyDescent="0.25">
      <c r="G247" s="11"/>
      <c r="H247" s="11"/>
    </row>
    <row r="248" spans="7:8" ht="15" customHeight="1" x14ac:dyDescent="0.25">
      <c r="G248" s="11"/>
      <c r="H248" s="11"/>
    </row>
    <row r="249" spans="7:8" ht="15" customHeight="1" x14ac:dyDescent="0.25">
      <c r="G249" s="11"/>
      <c r="H249" s="11"/>
    </row>
    <row r="250" spans="7:8" ht="15" customHeight="1" x14ac:dyDescent="0.25">
      <c r="G250" s="11"/>
      <c r="H250" s="11"/>
    </row>
    <row r="251" spans="7:8" ht="15" customHeight="1" x14ac:dyDescent="0.25">
      <c r="G251" s="11"/>
      <c r="H251" s="11"/>
    </row>
    <row r="252" spans="7:8" ht="15" customHeight="1" x14ac:dyDescent="0.25">
      <c r="G252" s="11"/>
      <c r="H252" s="11"/>
    </row>
    <row r="253" spans="7:8" ht="15" customHeight="1" x14ac:dyDescent="0.25">
      <c r="G253" s="11"/>
      <c r="H253" s="11"/>
    </row>
    <row r="254" spans="7:8" ht="15" customHeight="1" x14ac:dyDescent="0.25">
      <c r="G254" s="11"/>
      <c r="H254" s="11"/>
    </row>
    <row r="255" spans="7:8" ht="15" customHeight="1" x14ac:dyDescent="0.25">
      <c r="G255" s="11"/>
      <c r="H255" s="11"/>
    </row>
    <row r="256" spans="7:8" ht="15" customHeight="1" x14ac:dyDescent="0.25">
      <c r="G256" s="11"/>
      <c r="H256" s="11"/>
    </row>
    <row r="257" spans="7:8" ht="15" customHeight="1" x14ac:dyDescent="0.25">
      <c r="G257" s="11"/>
      <c r="H257" s="11"/>
    </row>
    <row r="258" spans="7:8" ht="15" customHeight="1" x14ac:dyDescent="0.25">
      <c r="G258" s="11"/>
      <c r="H258" s="11"/>
    </row>
    <row r="259" spans="7:8" ht="15" customHeight="1" x14ac:dyDescent="0.25">
      <c r="G259" s="11"/>
      <c r="H259" s="11"/>
    </row>
    <row r="260" spans="7:8" ht="15" customHeight="1" x14ac:dyDescent="0.25">
      <c r="G260" s="11"/>
      <c r="H260" s="11"/>
    </row>
    <row r="261" spans="7:8" ht="15" customHeight="1" x14ac:dyDescent="0.25">
      <c r="G261" s="11"/>
      <c r="H261" s="11"/>
    </row>
    <row r="262" spans="7:8" ht="15" customHeight="1" x14ac:dyDescent="0.25">
      <c r="G262" s="11"/>
      <c r="H262" s="11"/>
    </row>
    <row r="263" spans="7:8" ht="15" customHeight="1" x14ac:dyDescent="0.25">
      <c r="G263" s="11"/>
      <c r="H263" s="11"/>
    </row>
    <row r="264" spans="7:8" ht="15" customHeight="1" x14ac:dyDescent="0.25">
      <c r="G264" s="11"/>
      <c r="H264" s="11"/>
    </row>
    <row r="265" spans="7:8" ht="15" customHeight="1" x14ac:dyDescent="0.25">
      <c r="G265" s="11"/>
      <c r="H265" s="11"/>
    </row>
    <row r="266" spans="7:8" ht="15" customHeight="1" x14ac:dyDescent="0.25">
      <c r="G266" s="11"/>
      <c r="H266" s="11"/>
    </row>
    <row r="267" spans="7:8" ht="15" customHeight="1" x14ac:dyDescent="0.25">
      <c r="G267" s="11"/>
      <c r="H267" s="11"/>
    </row>
    <row r="268" spans="7:8" ht="15" customHeight="1" x14ac:dyDescent="0.25">
      <c r="G268" s="11"/>
      <c r="H268" s="11"/>
    </row>
    <row r="269" spans="7:8" ht="15" customHeight="1" x14ac:dyDescent="0.25">
      <c r="G269" s="11"/>
      <c r="H269" s="11"/>
    </row>
    <row r="270" spans="7:8" ht="15" customHeight="1" x14ac:dyDescent="0.25">
      <c r="G270" s="11"/>
      <c r="H270" s="11"/>
    </row>
    <row r="271" spans="7:8" ht="15" customHeight="1" x14ac:dyDescent="0.25">
      <c r="G271" s="11"/>
      <c r="H271" s="11"/>
    </row>
    <row r="272" spans="7:8" ht="15" customHeight="1" x14ac:dyDescent="0.25">
      <c r="G272" s="11"/>
      <c r="H272" s="11"/>
    </row>
    <row r="273" spans="7:8" ht="15" customHeight="1" x14ac:dyDescent="0.25">
      <c r="G273" s="11"/>
      <c r="H273" s="11"/>
    </row>
    <row r="274" spans="7:8" ht="15" customHeight="1" x14ac:dyDescent="0.25">
      <c r="G274" s="11"/>
      <c r="H274" s="11"/>
    </row>
    <row r="275" spans="7:8" ht="15" customHeight="1" x14ac:dyDescent="0.25">
      <c r="G275" s="11"/>
      <c r="H275" s="11"/>
    </row>
    <row r="276" spans="7:8" ht="15" customHeight="1" x14ac:dyDescent="0.25">
      <c r="G276" s="11"/>
      <c r="H276" s="11"/>
    </row>
    <row r="277" spans="7:8" ht="15" customHeight="1" x14ac:dyDescent="0.25">
      <c r="G277" s="11"/>
      <c r="H277" s="11"/>
    </row>
    <row r="278" spans="7:8" ht="15" customHeight="1" x14ac:dyDescent="0.25">
      <c r="G278" s="11"/>
      <c r="H278" s="11"/>
    </row>
    <row r="279" spans="7:8" ht="15" customHeight="1" x14ac:dyDescent="0.25">
      <c r="G279" s="11"/>
      <c r="H279" s="11"/>
    </row>
    <row r="280" spans="7:8" ht="15" customHeight="1" x14ac:dyDescent="0.25">
      <c r="G280" s="11"/>
      <c r="H280" s="11"/>
    </row>
    <row r="281" spans="7:8" ht="15" customHeight="1" x14ac:dyDescent="0.25">
      <c r="G281" s="11"/>
      <c r="H281" s="11"/>
    </row>
    <row r="282" spans="7:8" ht="15" customHeight="1" x14ac:dyDescent="0.25">
      <c r="G282" s="11"/>
      <c r="H282" s="11"/>
    </row>
    <row r="283" spans="7:8" ht="15" customHeight="1" x14ac:dyDescent="0.25">
      <c r="G283" s="11"/>
      <c r="H283" s="11"/>
    </row>
    <row r="284" spans="7:8" ht="15" customHeight="1" x14ac:dyDescent="0.25">
      <c r="G284" s="11"/>
      <c r="H284" s="11"/>
    </row>
    <row r="285" spans="7:8" ht="15" customHeight="1" x14ac:dyDescent="0.25">
      <c r="G285" s="11"/>
      <c r="H285" s="11"/>
    </row>
    <row r="286" spans="7:8" ht="15" customHeight="1" x14ac:dyDescent="0.25">
      <c r="G286" s="11"/>
      <c r="H286" s="11"/>
    </row>
    <row r="287" spans="7:8" ht="15" customHeight="1" x14ac:dyDescent="0.25">
      <c r="G287" s="11"/>
      <c r="H287" s="11"/>
    </row>
    <row r="288" spans="7:8" ht="15" customHeight="1" x14ac:dyDescent="0.25">
      <c r="G288" s="11"/>
      <c r="H288" s="11"/>
    </row>
    <row r="289" spans="7:8" ht="15" customHeight="1" x14ac:dyDescent="0.25">
      <c r="G289" s="11"/>
      <c r="H289" s="11"/>
    </row>
    <row r="290" spans="7:8" ht="15" customHeight="1" x14ac:dyDescent="0.25">
      <c r="G290" s="11"/>
      <c r="H290" s="11"/>
    </row>
    <row r="291" spans="7:8" ht="15" customHeight="1" x14ac:dyDescent="0.25">
      <c r="G291" s="11"/>
      <c r="H291" s="11"/>
    </row>
    <row r="292" spans="7:8" ht="15" customHeight="1" x14ac:dyDescent="0.25">
      <c r="G292" s="11"/>
      <c r="H292" s="11"/>
    </row>
    <row r="293" spans="7:8" ht="15" customHeight="1" x14ac:dyDescent="0.25">
      <c r="G293" s="11"/>
      <c r="H293" s="11"/>
    </row>
    <row r="294" spans="7:8" ht="15" customHeight="1" x14ac:dyDescent="0.25">
      <c r="G294" s="11"/>
      <c r="H294" s="11"/>
    </row>
    <row r="295" spans="7:8" ht="15" customHeight="1" x14ac:dyDescent="0.25">
      <c r="G295" s="11"/>
      <c r="H295" s="11"/>
    </row>
    <row r="296" spans="7:8" ht="15" customHeight="1" x14ac:dyDescent="0.25">
      <c r="G296" s="11"/>
      <c r="H296" s="11"/>
    </row>
    <row r="297" spans="7:8" ht="15" customHeight="1" x14ac:dyDescent="0.25">
      <c r="G297" s="11"/>
      <c r="H297" s="11"/>
    </row>
    <row r="298" spans="7:8" ht="15" customHeight="1" x14ac:dyDescent="0.25">
      <c r="G298" s="11"/>
      <c r="H298" s="11"/>
    </row>
    <row r="299" spans="7:8" ht="15" customHeight="1" x14ac:dyDescent="0.25">
      <c r="G299" s="11"/>
      <c r="H299" s="11"/>
    </row>
    <row r="300" spans="7:8" ht="15" customHeight="1" x14ac:dyDescent="0.25">
      <c r="G300" s="11"/>
      <c r="H300" s="11"/>
    </row>
    <row r="301" spans="7:8" ht="15" customHeight="1" x14ac:dyDescent="0.25">
      <c r="G301" s="11"/>
      <c r="H301" s="11"/>
    </row>
    <row r="302" spans="7:8" ht="15" customHeight="1" x14ac:dyDescent="0.25">
      <c r="G302" s="11"/>
      <c r="H302" s="11"/>
    </row>
    <row r="303" spans="7:8" ht="15" customHeight="1" x14ac:dyDescent="0.25">
      <c r="G303" s="11"/>
      <c r="H303" s="11"/>
    </row>
    <row r="304" spans="7:8" ht="15" customHeight="1" x14ac:dyDescent="0.25">
      <c r="G304" s="11"/>
      <c r="H304" s="11"/>
    </row>
    <row r="305" spans="7:8" ht="15" customHeight="1" x14ac:dyDescent="0.25">
      <c r="G305" s="11"/>
      <c r="H305" s="11"/>
    </row>
    <row r="306" spans="7:8" ht="15" customHeight="1" x14ac:dyDescent="0.25">
      <c r="G306" s="11"/>
      <c r="H306" s="11"/>
    </row>
    <row r="307" spans="7:8" ht="15" customHeight="1" x14ac:dyDescent="0.25">
      <c r="G307" s="11"/>
      <c r="H307" s="11"/>
    </row>
    <row r="308" spans="7:8" ht="15" customHeight="1" x14ac:dyDescent="0.25">
      <c r="G308" s="11"/>
      <c r="H308" s="11"/>
    </row>
    <row r="309" spans="7:8" ht="15" customHeight="1" x14ac:dyDescent="0.25">
      <c r="G309" s="11"/>
      <c r="H309" s="11"/>
    </row>
    <row r="310" spans="7:8" ht="15" customHeight="1" x14ac:dyDescent="0.25">
      <c r="G310" s="11"/>
      <c r="H310" s="11"/>
    </row>
    <row r="311" spans="7:8" ht="15" customHeight="1" x14ac:dyDescent="0.25">
      <c r="G311" s="11"/>
      <c r="H311" s="11"/>
    </row>
    <row r="312" spans="7:8" ht="15" customHeight="1" x14ac:dyDescent="0.25">
      <c r="G312" s="11"/>
      <c r="H312" s="11"/>
    </row>
    <row r="313" spans="7:8" ht="15" customHeight="1" x14ac:dyDescent="0.25">
      <c r="G313" s="11"/>
      <c r="H313" s="11"/>
    </row>
    <row r="314" spans="7:8" ht="15" customHeight="1" x14ac:dyDescent="0.25">
      <c r="G314" s="11"/>
      <c r="H314" s="11"/>
    </row>
    <row r="315" spans="7:8" ht="15" customHeight="1" x14ac:dyDescent="0.25">
      <c r="G315" s="11"/>
      <c r="H315" s="11"/>
    </row>
    <row r="316" spans="7:8" ht="15" customHeight="1" x14ac:dyDescent="0.25">
      <c r="G316" s="11"/>
      <c r="H316" s="11"/>
    </row>
    <row r="317" spans="7:8" ht="15" customHeight="1" x14ac:dyDescent="0.25">
      <c r="G317" s="11"/>
      <c r="H317" s="11"/>
    </row>
    <row r="318" spans="7:8" ht="15" customHeight="1" x14ac:dyDescent="0.25">
      <c r="G318" s="11"/>
      <c r="H318" s="11"/>
    </row>
    <row r="319" spans="7:8" ht="15" customHeight="1" x14ac:dyDescent="0.25">
      <c r="G319" s="11"/>
      <c r="H319" s="11"/>
    </row>
    <row r="320" spans="7:8" ht="15" customHeight="1" x14ac:dyDescent="0.25">
      <c r="G320" s="11"/>
      <c r="H320" s="11"/>
    </row>
    <row r="321" spans="7:8" ht="15" customHeight="1" x14ac:dyDescent="0.25">
      <c r="G321" s="11"/>
      <c r="H321" s="11"/>
    </row>
    <row r="322" spans="7:8" ht="15" customHeight="1" x14ac:dyDescent="0.25">
      <c r="G322" s="11"/>
      <c r="H322" s="11"/>
    </row>
    <row r="323" spans="7:8" ht="15" customHeight="1" x14ac:dyDescent="0.25">
      <c r="G323" s="11"/>
      <c r="H323" s="11"/>
    </row>
    <row r="324" spans="7:8" ht="15" customHeight="1" x14ac:dyDescent="0.25">
      <c r="G324" s="11"/>
      <c r="H324" s="11"/>
    </row>
    <row r="325" spans="7:8" ht="15" customHeight="1" x14ac:dyDescent="0.25">
      <c r="G325" s="11"/>
      <c r="H325" s="11"/>
    </row>
    <row r="326" spans="7:8" ht="15" customHeight="1" x14ac:dyDescent="0.25">
      <c r="G326" s="11"/>
      <c r="H326" s="11"/>
    </row>
    <row r="327" spans="7:8" ht="15" customHeight="1" x14ac:dyDescent="0.25">
      <c r="G327" s="11"/>
      <c r="H327" s="11"/>
    </row>
    <row r="328" spans="7:8" ht="15" customHeight="1" x14ac:dyDescent="0.25">
      <c r="G328" s="11"/>
      <c r="H328" s="11"/>
    </row>
    <row r="329" spans="7:8" ht="15" customHeight="1" x14ac:dyDescent="0.25">
      <c r="G329" s="11"/>
      <c r="H329" s="11"/>
    </row>
    <row r="330" spans="7:8" ht="15" customHeight="1" x14ac:dyDescent="0.25">
      <c r="G330" s="11"/>
      <c r="H330" s="11"/>
    </row>
    <row r="331" spans="7:8" ht="15" customHeight="1" x14ac:dyDescent="0.25">
      <c r="G331" s="11"/>
      <c r="H331" s="11"/>
    </row>
    <row r="332" spans="7:8" ht="15" customHeight="1" x14ac:dyDescent="0.25">
      <c r="G332" s="11"/>
      <c r="H332" s="11"/>
    </row>
    <row r="333" spans="7:8" ht="15" customHeight="1" x14ac:dyDescent="0.25">
      <c r="G333" s="11"/>
      <c r="H333" s="11"/>
    </row>
    <row r="334" spans="7:8" ht="15" customHeight="1" x14ac:dyDescent="0.25">
      <c r="G334" s="11"/>
      <c r="H334" s="11"/>
    </row>
    <row r="335" spans="7:8" ht="15" customHeight="1" x14ac:dyDescent="0.25">
      <c r="G335" s="11"/>
      <c r="H335" s="11"/>
    </row>
    <row r="336" spans="7:8" ht="15" customHeight="1" x14ac:dyDescent="0.25">
      <c r="G336" s="11"/>
      <c r="H336" s="11"/>
    </row>
    <row r="337" spans="7:8" ht="15" customHeight="1" x14ac:dyDescent="0.25">
      <c r="G337" s="11"/>
      <c r="H337" s="11"/>
    </row>
    <row r="338" spans="7:8" ht="15" customHeight="1" x14ac:dyDescent="0.25">
      <c r="G338" s="11"/>
      <c r="H338" s="11"/>
    </row>
    <row r="339" spans="7:8" ht="15" customHeight="1" x14ac:dyDescent="0.25">
      <c r="G339" s="11"/>
      <c r="H339" s="11"/>
    </row>
    <row r="340" spans="7:8" ht="15" customHeight="1" x14ac:dyDescent="0.25">
      <c r="G340" s="11"/>
      <c r="H340" s="11"/>
    </row>
    <row r="341" spans="7:8" ht="15" customHeight="1" x14ac:dyDescent="0.25">
      <c r="G341" s="11"/>
      <c r="H341" s="11"/>
    </row>
    <row r="342" spans="7:8" ht="15" customHeight="1" x14ac:dyDescent="0.25">
      <c r="G342" s="11"/>
      <c r="H342" s="11"/>
    </row>
    <row r="343" spans="7:8" ht="15" customHeight="1" x14ac:dyDescent="0.25">
      <c r="G343" s="11"/>
      <c r="H343" s="11"/>
    </row>
    <row r="344" spans="7:8" ht="15" customHeight="1" x14ac:dyDescent="0.25">
      <c r="G344" s="11"/>
      <c r="H344" s="11"/>
    </row>
    <row r="345" spans="7:8" ht="15" customHeight="1" x14ac:dyDescent="0.25">
      <c r="G345" s="11"/>
      <c r="H345" s="11"/>
    </row>
    <row r="346" spans="7:8" ht="15" customHeight="1" x14ac:dyDescent="0.25">
      <c r="G346" s="11"/>
      <c r="H346" s="11"/>
    </row>
    <row r="347" spans="7:8" ht="15" customHeight="1" x14ac:dyDescent="0.25">
      <c r="G347" s="11"/>
      <c r="H347" s="11"/>
    </row>
    <row r="348" spans="7:8" ht="15" customHeight="1" x14ac:dyDescent="0.25">
      <c r="G348" s="11"/>
      <c r="H348" s="11"/>
    </row>
    <row r="349" spans="7:8" ht="15" customHeight="1" x14ac:dyDescent="0.25">
      <c r="G349" s="11"/>
      <c r="H349" s="11"/>
    </row>
    <row r="350" spans="7:8" ht="15" customHeight="1" x14ac:dyDescent="0.25">
      <c r="G350" s="11"/>
      <c r="H350" s="11"/>
    </row>
    <row r="351" spans="7:8" ht="15" customHeight="1" x14ac:dyDescent="0.25">
      <c r="G351" s="11"/>
      <c r="H351" s="11"/>
    </row>
    <row r="352" spans="7:8" ht="15" customHeight="1" x14ac:dyDescent="0.25">
      <c r="G352" s="11"/>
      <c r="H352" s="11"/>
    </row>
    <row r="353" spans="7:8" ht="15" customHeight="1" x14ac:dyDescent="0.25">
      <c r="G353" s="11"/>
      <c r="H353" s="11"/>
    </row>
    <row r="354" spans="7:8" ht="15" customHeight="1" x14ac:dyDescent="0.25">
      <c r="G354" s="11"/>
      <c r="H354" s="11"/>
    </row>
    <row r="355" spans="7:8" ht="15" customHeight="1" x14ac:dyDescent="0.25">
      <c r="G355" s="11"/>
      <c r="H355" s="11"/>
    </row>
    <row r="356" spans="7:8" ht="15" customHeight="1" x14ac:dyDescent="0.25">
      <c r="G356" s="11"/>
      <c r="H356" s="11"/>
    </row>
    <row r="357" spans="7:8" ht="15" customHeight="1" x14ac:dyDescent="0.25">
      <c r="G357" s="11"/>
      <c r="H357" s="11"/>
    </row>
    <row r="358" spans="7:8" ht="15" customHeight="1" x14ac:dyDescent="0.25">
      <c r="G358" s="11"/>
      <c r="H358" s="11"/>
    </row>
    <row r="359" spans="7:8" ht="15" customHeight="1" x14ac:dyDescent="0.25">
      <c r="G359" s="11"/>
      <c r="H359" s="11"/>
    </row>
    <row r="360" spans="7:8" ht="15" customHeight="1" x14ac:dyDescent="0.25">
      <c r="G360" s="11"/>
      <c r="H360" s="11"/>
    </row>
    <row r="361" spans="7:8" ht="15" customHeight="1" x14ac:dyDescent="0.25">
      <c r="G361" s="11"/>
      <c r="H361" s="11"/>
    </row>
    <row r="362" spans="7:8" ht="15" customHeight="1" x14ac:dyDescent="0.25">
      <c r="G362" s="11"/>
      <c r="H362" s="11"/>
    </row>
    <row r="363" spans="7:8" ht="15" customHeight="1" x14ac:dyDescent="0.25">
      <c r="G363" s="11"/>
      <c r="H363" s="11"/>
    </row>
    <row r="364" spans="7:8" ht="15" customHeight="1" x14ac:dyDescent="0.25">
      <c r="G364" s="11"/>
      <c r="H364" s="11"/>
    </row>
    <row r="365" spans="7:8" ht="15" customHeight="1" x14ac:dyDescent="0.25">
      <c r="G365" s="11"/>
      <c r="H365" s="11"/>
    </row>
    <row r="366" spans="7:8" ht="15" customHeight="1" x14ac:dyDescent="0.25">
      <c r="G366" s="11"/>
      <c r="H366" s="11"/>
    </row>
    <row r="367" spans="7:8" ht="15" customHeight="1" x14ac:dyDescent="0.25">
      <c r="G367" s="11"/>
      <c r="H367" s="11"/>
    </row>
    <row r="368" spans="7:8" ht="15" customHeight="1" x14ac:dyDescent="0.25">
      <c r="G368" s="11"/>
      <c r="H368" s="11"/>
    </row>
    <row r="369" spans="7:8" ht="15" customHeight="1" x14ac:dyDescent="0.25">
      <c r="G369" s="11"/>
      <c r="H369" s="11"/>
    </row>
    <row r="370" spans="7:8" ht="15" customHeight="1" x14ac:dyDescent="0.25">
      <c r="G370" s="11"/>
      <c r="H370" s="11"/>
    </row>
    <row r="371" spans="7:8" ht="15" customHeight="1" x14ac:dyDescent="0.25">
      <c r="G371" s="11"/>
      <c r="H371" s="11"/>
    </row>
    <row r="372" spans="7:8" ht="15" customHeight="1" x14ac:dyDescent="0.25">
      <c r="G372" s="11"/>
      <c r="H372" s="11"/>
    </row>
    <row r="373" spans="7:8" ht="15" customHeight="1" x14ac:dyDescent="0.25">
      <c r="G373" s="11"/>
      <c r="H373" s="11"/>
    </row>
    <row r="374" spans="7:8" ht="15" customHeight="1" x14ac:dyDescent="0.25">
      <c r="G374" s="11"/>
      <c r="H374" s="11"/>
    </row>
    <row r="375" spans="7:8" ht="15" customHeight="1" x14ac:dyDescent="0.25">
      <c r="G375" s="11"/>
      <c r="H375" s="11"/>
    </row>
    <row r="376" spans="7:8" ht="15" customHeight="1" x14ac:dyDescent="0.25">
      <c r="G376" s="11"/>
      <c r="H376" s="11"/>
    </row>
    <row r="377" spans="7:8" ht="15" customHeight="1" x14ac:dyDescent="0.25">
      <c r="G377" s="11"/>
      <c r="H377" s="11"/>
    </row>
    <row r="378" spans="7:8" ht="15" customHeight="1" x14ac:dyDescent="0.25">
      <c r="G378" s="11"/>
      <c r="H378" s="11"/>
    </row>
    <row r="379" spans="7:8" ht="15" customHeight="1" x14ac:dyDescent="0.25">
      <c r="G379" s="11"/>
      <c r="H379" s="11"/>
    </row>
    <row r="380" spans="7:8" ht="15" customHeight="1" x14ac:dyDescent="0.25">
      <c r="G380" s="11"/>
      <c r="H380" s="11"/>
    </row>
    <row r="381" spans="7:8" ht="15" customHeight="1" x14ac:dyDescent="0.25">
      <c r="G381" s="11"/>
      <c r="H381" s="11"/>
    </row>
    <row r="382" spans="7:8" ht="15" customHeight="1" x14ac:dyDescent="0.25">
      <c r="G382" s="11"/>
      <c r="H382" s="11"/>
    </row>
    <row r="383" spans="7:8" ht="15" customHeight="1" x14ac:dyDescent="0.25">
      <c r="G383" s="11"/>
      <c r="H383" s="11"/>
    </row>
    <row r="384" spans="7:8" ht="15" customHeight="1" x14ac:dyDescent="0.25">
      <c r="G384" s="11"/>
      <c r="H384" s="11"/>
    </row>
    <row r="385" spans="7:8" ht="15" customHeight="1" x14ac:dyDescent="0.25">
      <c r="G385" s="11"/>
      <c r="H385" s="11"/>
    </row>
    <row r="386" spans="7:8" ht="15" customHeight="1" x14ac:dyDescent="0.25">
      <c r="G386" s="11"/>
      <c r="H386" s="11"/>
    </row>
    <row r="387" spans="7:8" ht="15" customHeight="1" x14ac:dyDescent="0.25">
      <c r="G387" s="11"/>
      <c r="H387" s="11"/>
    </row>
    <row r="388" spans="7:8" ht="15" customHeight="1" x14ac:dyDescent="0.25">
      <c r="G388" s="11"/>
      <c r="H388" s="11"/>
    </row>
    <row r="389" spans="7:8" ht="15" customHeight="1" x14ac:dyDescent="0.25">
      <c r="G389" s="11"/>
      <c r="H389" s="11"/>
    </row>
    <row r="390" spans="7:8" ht="15" customHeight="1" x14ac:dyDescent="0.25">
      <c r="G390" s="11"/>
      <c r="H390" s="11"/>
    </row>
    <row r="391" spans="7:8" ht="15" customHeight="1" x14ac:dyDescent="0.25">
      <c r="G391" s="11"/>
      <c r="H391" s="11"/>
    </row>
    <row r="392" spans="7:8" ht="15" customHeight="1" x14ac:dyDescent="0.25">
      <c r="G392" s="11"/>
      <c r="H392" s="11"/>
    </row>
    <row r="393" spans="7:8" ht="15" customHeight="1" x14ac:dyDescent="0.25">
      <c r="G393" s="11"/>
      <c r="H393" s="11"/>
    </row>
    <row r="394" spans="7:8" ht="15" customHeight="1" x14ac:dyDescent="0.25">
      <c r="G394" s="11"/>
      <c r="H394" s="11"/>
    </row>
    <row r="395" spans="7:8" ht="15" customHeight="1" x14ac:dyDescent="0.25">
      <c r="G395" s="11"/>
      <c r="H395" s="11"/>
    </row>
    <row r="396" spans="7:8" ht="15" customHeight="1" x14ac:dyDescent="0.25">
      <c r="G396" s="11"/>
      <c r="H396" s="11"/>
    </row>
    <row r="397" spans="7:8" ht="15" customHeight="1" x14ac:dyDescent="0.25">
      <c r="G397" s="11"/>
      <c r="H397" s="11"/>
    </row>
    <row r="398" spans="7:8" ht="15" customHeight="1" x14ac:dyDescent="0.25">
      <c r="G398" s="11"/>
      <c r="H398" s="11"/>
    </row>
    <row r="399" spans="7:8" ht="15" customHeight="1" x14ac:dyDescent="0.25">
      <c r="G399" s="11"/>
      <c r="H399" s="11"/>
    </row>
    <row r="400" spans="7:8" ht="15" customHeight="1" x14ac:dyDescent="0.25">
      <c r="G400" s="11"/>
      <c r="H400" s="11"/>
    </row>
    <row r="401" spans="7:8" ht="15" customHeight="1" x14ac:dyDescent="0.25">
      <c r="G401" s="11"/>
      <c r="H401" s="11"/>
    </row>
    <row r="402" spans="7:8" ht="15" customHeight="1" x14ac:dyDescent="0.25">
      <c r="G402" s="11"/>
      <c r="H402" s="11"/>
    </row>
    <row r="403" spans="7:8" ht="15" customHeight="1" x14ac:dyDescent="0.25">
      <c r="G403" s="11"/>
      <c r="H403" s="11"/>
    </row>
    <row r="404" spans="7:8" ht="15" customHeight="1" x14ac:dyDescent="0.25">
      <c r="G404" s="11"/>
      <c r="H404" s="11"/>
    </row>
    <row r="405" spans="7:8" ht="15" customHeight="1" x14ac:dyDescent="0.25">
      <c r="G405" s="11"/>
      <c r="H405" s="11"/>
    </row>
    <row r="406" spans="7:8" ht="15" customHeight="1" x14ac:dyDescent="0.25">
      <c r="G406" s="11"/>
      <c r="H406" s="11"/>
    </row>
    <row r="407" spans="7:8" ht="15" customHeight="1" x14ac:dyDescent="0.25">
      <c r="G407" s="11"/>
      <c r="H407" s="11"/>
    </row>
    <row r="408" spans="7:8" ht="15" customHeight="1" x14ac:dyDescent="0.25">
      <c r="G408" s="11"/>
      <c r="H408" s="11"/>
    </row>
    <row r="409" spans="7:8" ht="15" customHeight="1" x14ac:dyDescent="0.25">
      <c r="G409" s="11"/>
      <c r="H409" s="11"/>
    </row>
    <row r="410" spans="7:8" ht="15" customHeight="1" x14ac:dyDescent="0.25">
      <c r="G410" s="11"/>
      <c r="H410" s="11"/>
    </row>
    <row r="411" spans="7:8" ht="15" customHeight="1" x14ac:dyDescent="0.25">
      <c r="G411" s="11"/>
      <c r="H411" s="11"/>
    </row>
    <row r="412" spans="7:8" ht="15" customHeight="1" x14ac:dyDescent="0.25">
      <c r="G412" s="11"/>
      <c r="H412" s="11"/>
    </row>
    <row r="413" spans="7:8" ht="15" customHeight="1" x14ac:dyDescent="0.25">
      <c r="G413" s="11"/>
      <c r="H413" s="11"/>
    </row>
    <row r="414" spans="7:8" ht="15" customHeight="1" x14ac:dyDescent="0.25">
      <c r="G414" s="11"/>
      <c r="H414" s="11"/>
    </row>
    <row r="415" spans="7:8" ht="15" customHeight="1" x14ac:dyDescent="0.25">
      <c r="G415" s="11"/>
      <c r="H415" s="11"/>
    </row>
    <row r="416" spans="7:8" ht="15" customHeight="1" x14ac:dyDescent="0.25">
      <c r="G416" s="11"/>
      <c r="H416" s="11"/>
    </row>
    <row r="417" spans="7:8" ht="15" customHeight="1" x14ac:dyDescent="0.25">
      <c r="G417" s="11"/>
      <c r="H417" s="11"/>
    </row>
    <row r="418" spans="7:8" ht="15" customHeight="1" x14ac:dyDescent="0.25">
      <c r="G418" s="11"/>
      <c r="H418" s="11"/>
    </row>
    <row r="419" spans="7:8" ht="15" customHeight="1" x14ac:dyDescent="0.25">
      <c r="G419" s="11"/>
      <c r="H419" s="11"/>
    </row>
    <row r="420" spans="7:8" ht="15" customHeight="1" x14ac:dyDescent="0.25">
      <c r="G420" s="11"/>
      <c r="H420" s="11"/>
    </row>
    <row r="421" spans="7:8" ht="15" customHeight="1" x14ac:dyDescent="0.25">
      <c r="G421" s="11"/>
      <c r="H421" s="11"/>
    </row>
    <row r="422" spans="7:8" ht="15" customHeight="1" x14ac:dyDescent="0.25">
      <c r="G422" s="11"/>
      <c r="H422" s="11"/>
    </row>
    <row r="423" spans="7:8" ht="15" customHeight="1" x14ac:dyDescent="0.25">
      <c r="G423" s="11"/>
      <c r="H423" s="11"/>
    </row>
    <row r="424" spans="7:8" ht="15" customHeight="1" x14ac:dyDescent="0.25">
      <c r="G424" s="11"/>
      <c r="H424" s="11"/>
    </row>
    <row r="425" spans="7:8" ht="15" customHeight="1" x14ac:dyDescent="0.25">
      <c r="G425" s="11"/>
      <c r="H425" s="11"/>
    </row>
    <row r="426" spans="7:8" ht="15" customHeight="1" x14ac:dyDescent="0.25">
      <c r="G426" s="11"/>
      <c r="H426" s="11"/>
    </row>
    <row r="427" spans="7:8" ht="15" customHeight="1" x14ac:dyDescent="0.25">
      <c r="G427" s="11"/>
      <c r="H427" s="11"/>
    </row>
    <row r="428" spans="7:8" ht="15" customHeight="1" x14ac:dyDescent="0.25">
      <c r="G428" s="11"/>
      <c r="H428" s="11"/>
    </row>
    <row r="429" spans="7:8" ht="15" customHeight="1" x14ac:dyDescent="0.25">
      <c r="G429" s="11"/>
      <c r="H429" s="11"/>
    </row>
    <row r="430" spans="7:8" ht="15" customHeight="1" x14ac:dyDescent="0.25">
      <c r="G430" s="11"/>
      <c r="H430" s="11"/>
    </row>
    <row r="431" spans="7:8" ht="15" customHeight="1" x14ac:dyDescent="0.25">
      <c r="G431" s="11"/>
      <c r="H431" s="11"/>
    </row>
    <row r="432" spans="7:8" ht="15" customHeight="1" x14ac:dyDescent="0.25">
      <c r="G432" s="11"/>
      <c r="H432" s="11"/>
    </row>
    <row r="433" spans="7:8" ht="15" customHeight="1" x14ac:dyDescent="0.25">
      <c r="G433" s="11"/>
      <c r="H433" s="11"/>
    </row>
    <row r="434" spans="7:8" ht="15" customHeight="1" x14ac:dyDescent="0.25">
      <c r="G434" s="11"/>
      <c r="H434" s="11"/>
    </row>
    <row r="435" spans="7:8" ht="15" customHeight="1" x14ac:dyDescent="0.25">
      <c r="G435" s="11"/>
      <c r="H435" s="11"/>
    </row>
    <row r="436" spans="7:8" ht="15" customHeight="1" x14ac:dyDescent="0.25">
      <c r="G436" s="11"/>
      <c r="H436" s="11"/>
    </row>
    <row r="437" spans="7:8" ht="15" customHeight="1" x14ac:dyDescent="0.25">
      <c r="G437" s="11"/>
      <c r="H437" s="11"/>
    </row>
    <row r="438" spans="7:8" ht="15" customHeight="1" x14ac:dyDescent="0.25">
      <c r="G438" s="11"/>
      <c r="H438" s="11"/>
    </row>
    <row r="439" spans="7:8" ht="15" customHeight="1" x14ac:dyDescent="0.25">
      <c r="G439" s="11"/>
      <c r="H439" s="11"/>
    </row>
    <row r="440" spans="7:8" ht="15" customHeight="1" x14ac:dyDescent="0.25">
      <c r="G440" s="11"/>
      <c r="H440" s="11"/>
    </row>
    <row r="441" spans="7:8" ht="15" customHeight="1" x14ac:dyDescent="0.25">
      <c r="G441" s="11"/>
      <c r="H441" s="11"/>
    </row>
    <row r="442" spans="7:8" ht="15" customHeight="1" x14ac:dyDescent="0.25">
      <c r="G442" s="11"/>
      <c r="H442" s="11"/>
    </row>
    <row r="443" spans="7:8" ht="15" customHeight="1" x14ac:dyDescent="0.25">
      <c r="G443" s="11"/>
      <c r="H443" s="11"/>
    </row>
    <row r="444" spans="7:8" ht="15" customHeight="1" x14ac:dyDescent="0.25">
      <c r="G444" s="11"/>
      <c r="H444" s="11"/>
    </row>
    <row r="445" spans="7:8" ht="15" customHeight="1" x14ac:dyDescent="0.25">
      <c r="G445" s="11"/>
      <c r="H445" s="11"/>
    </row>
    <row r="446" spans="7:8" ht="15" customHeight="1" x14ac:dyDescent="0.25">
      <c r="G446" s="11"/>
      <c r="H446" s="11"/>
    </row>
    <row r="447" spans="7:8" ht="15" customHeight="1" x14ac:dyDescent="0.25">
      <c r="G447" s="11"/>
      <c r="H447" s="11"/>
    </row>
    <row r="448" spans="7:8" ht="15" customHeight="1" x14ac:dyDescent="0.25">
      <c r="G448" s="11"/>
      <c r="H448" s="11"/>
    </row>
    <row r="449" spans="7:8" ht="15" customHeight="1" x14ac:dyDescent="0.25">
      <c r="G449" s="11"/>
      <c r="H449" s="11"/>
    </row>
    <row r="450" spans="7:8" ht="15" customHeight="1" x14ac:dyDescent="0.25">
      <c r="G450" s="11"/>
      <c r="H450" s="11"/>
    </row>
    <row r="451" spans="7:8" ht="15" customHeight="1" x14ac:dyDescent="0.25">
      <c r="G451" s="11"/>
      <c r="H451" s="11"/>
    </row>
    <row r="452" spans="7:8" ht="15" customHeight="1" x14ac:dyDescent="0.25">
      <c r="G452" s="11"/>
      <c r="H452" s="11"/>
    </row>
    <row r="453" spans="7:8" ht="15" customHeight="1" x14ac:dyDescent="0.25">
      <c r="G453" s="11"/>
      <c r="H453" s="11"/>
    </row>
    <row r="454" spans="7:8" ht="15" customHeight="1" x14ac:dyDescent="0.25">
      <c r="G454" s="11"/>
      <c r="H454" s="11"/>
    </row>
    <row r="455" spans="7:8" ht="15" customHeight="1" x14ac:dyDescent="0.25">
      <c r="G455" s="11"/>
      <c r="H455" s="11"/>
    </row>
    <row r="456" spans="7:8" ht="15" customHeight="1" x14ac:dyDescent="0.25">
      <c r="G456" s="11"/>
      <c r="H456" s="11"/>
    </row>
    <row r="457" spans="7:8" ht="15" customHeight="1" x14ac:dyDescent="0.25">
      <c r="G457" s="11"/>
      <c r="H457" s="11"/>
    </row>
    <row r="458" spans="7:8" ht="15" customHeight="1" x14ac:dyDescent="0.25">
      <c r="G458" s="11"/>
      <c r="H458" s="11"/>
    </row>
    <row r="459" spans="7:8" ht="15" customHeight="1" x14ac:dyDescent="0.25">
      <c r="G459" s="11"/>
      <c r="H459" s="11"/>
    </row>
    <row r="460" spans="7:8" ht="15" customHeight="1" x14ac:dyDescent="0.25">
      <c r="G460" s="11"/>
      <c r="H460" s="11"/>
    </row>
    <row r="461" spans="7:8" ht="15" customHeight="1" x14ac:dyDescent="0.25">
      <c r="G461" s="11"/>
      <c r="H461" s="11"/>
    </row>
    <row r="462" spans="7:8" ht="15" customHeight="1" x14ac:dyDescent="0.25">
      <c r="G462" s="11"/>
      <c r="H462" s="11"/>
    </row>
    <row r="463" spans="7:8" ht="15" customHeight="1" x14ac:dyDescent="0.25">
      <c r="G463" s="11"/>
      <c r="H463" s="11"/>
    </row>
    <row r="464" spans="7:8" ht="15" customHeight="1" x14ac:dyDescent="0.25">
      <c r="G464" s="11"/>
      <c r="H464" s="11"/>
    </row>
    <row r="465" spans="7:8" ht="15" customHeight="1" x14ac:dyDescent="0.25">
      <c r="G465" s="11"/>
      <c r="H465" s="11"/>
    </row>
    <row r="466" spans="7:8" ht="15" customHeight="1" x14ac:dyDescent="0.25">
      <c r="G466" s="11"/>
      <c r="H466" s="11"/>
    </row>
    <row r="467" spans="7:8" ht="15" customHeight="1" x14ac:dyDescent="0.25">
      <c r="G467" s="11"/>
      <c r="H467" s="11"/>
    </row>
    <row r="468" spans="7:8" ht="15" customHeight="1" x14ac:dyDescent="0.25">
      <c r="G468" s="11"/>
      <c r="H468" s="11"/>
    </row>
    <row r="469" spans="7:8" ht="15" customHeight="1" x14ac:dyDescent="0.25">
      <c r="G469" s="11"/>
      <c r="H469" s="11"/>
    </row>
    <row r="470" spans="7:8" ht="15" customHeight="1" x14ac:dyDescent="0.25">
      <c r="G470" s="11"/>
      <c r="H470" s="11"/>
    </row>
    <row r="471" spans="7:8" ht="15" customHeight="1" x14ac:dyDescent="0.25">
      <c r="G471" s="11"/>
      <c r="H471" s="11"/>
    </row>
    <row r="472" spans="7:8" ht="15" customHeight="1" x14ac:dyDescent="0.25">
      <c r="G472" s="11"/>
      <c r="H472" s="11"/>
    </row>
    <row r="473" spans="7:8" ht="15" customHeight="1" x14ac:dyDescent="0.25">
      <c r="G473" s="11"/>
      <c r="H473" s="11"/>
    </row>
    <row r="474" spans="7:8" ht="15" customHeight="1" x14ac:dyDescent="0.25">
      <c r="G474" s="11"/>
      <c r="H474" s="11"/>
    </row>
    <row r="475" spans="7:8" ht="15" customHeight="1" x14ac:dyDescent="0.25">
      <c r="G475" s="11"/>
      <c r="H475" s="11"/>
    </row>
    <row r="476" spans="7:8" ht="15" customHeight="1" x14ac:dyDescent="0.25">
      <c r="G476" s="11"/>
      <c r="H476" s="11"/>
    </row>
    <row r="477" spans="7:8" ht="15" customHeight="1" x14ac:dyDescent="0.25">
      <c r="G477" s="11"/>
      <c r="H477" s="11"/>
    </row>
    <row r="478" spans="7:8" ht="15" customHeight="1" x14ac:dyDescent="0.25">
      <c r="G478" s="11"/>
      <c r="H478" s="11"/>
    </row>
    <row r="479" spans="7:8" ht="15" customHeight="1" x14ac:dyDescent="0.25">
      <c r="G479" s="11"/>
      <c r="H479" s="11"/>
    </row>
    <row r="480" spans="7:8" ht="15" customHeight="1" x14ac:dyDescent="0.25">
      <c r="G480" s="11"/>
      <c r="H480" s="11"/>
    </row>
    <row r="481" spans="7:8" ht="15" customHeight="1" x14ac:dyDescent="0.25">
      <c r="G481" s="11"/>
      <c r="H481" s="11"/>
    </row>
    <row r="482" spans="7:8" ht="15" customHeight="1" x14ac:dyDescent="0.25">
      <c r="G482" s="11"/>
      <c r="H482" s="11"/>
    </row>
    <row r="483" spans="7:8" ht="15" customHeight="1" x14ac:dyDescent="0.25">
      <c r="G483" s="11"/>
      <c r="H483" s="11"/>
    </row>
    <row r="484" spans="7:8" ht="15" customHeight="1" x14ac:dyDescent="0.25">
      <c r="G484" s="11"/>
      <c r="H484" s="11"/>
    </row>
    <row r="485" spans="7:8" ht="15" customHeight="1" x14ac:dyDescent="0.25">
      <c r="G485" s="11"/>
      <c r="H485" s="11"/>
    </row>
    <row r="486" spans="7:8" ht="15" customHeight="1" x14ac:dyDescent="0.25">
      <c r="G486" s="11"/>
      <c r="H486" s="11"/>
    </row>
    <row r="487" spans="7:8" ht="15" customHeight="1" x14ac:dyDescent="0.25">
      <c r="G487" s="11"/>
      <c r="H487" s="11"/>
    </row>
    <row r="488" spans="7:8" ht="15" customHeight="1" x14ac:dyDescent="0.25">
      <c r="G488" s="11"/>
      <c r="H488" s="11"/>
    </row>
    <row r="489" spans="7:8" ht="15" customHeight="1" x14ac:dyDescent="0.25">
      <c r="G489" s="11"/>
      <c r="H489" s="11"/>
    </row>
    <row r="490" spans="7:8" ht="15" customHeight="1" x14ac:dyDescent="0.25">
      <c r="G490" s="11"/>
      <c r="H490" s="11"/>
    </row>
    <row r="491" spans="7:8" ht="15" customHeight="1" x14ac:dyDescent="0.25">
      <c r="G491" s="11"/>
      <c r="H491" s="11"/>
    </row>
    <row r="492" spans="7:8" ht="15" customHeight="1" x14ac:dyDescent="0.25">
      <c r="G492" s="11"/>
      <c r="H492" s="11"/>
    </row>
    <row r="493" spans="7:8" ht="15" customHeight="1" x14ac:dyDescent="0.25">
      <c r="G493" s="11"/>
      <c r="H493" s="11"/>
    </row>
    <row r="494" spans="7:8" ht="15" customHeight="1" x14ac:dyDescent="0.25">
      <c r="G494" s="11"/>
      <c r="H494" s="11"/>
    </row>
    <row r="495" spans="7:8" ht="15" customHeight="1" x14ac:dyDescent="0.25">
      <c r="G495" s="11"/>
      <c r="H495" s="11"/>
    </row>
    <row r="496" spans="7:8" ht="15" customHeight="1" x14ac:dyDescent="0.25">
      <c r="G496" s="11"/>
      <c r="H496" s="11"/>
    </row>
    <row r="497" spans="7:8" ht="15" customHeight="1" x14ac:dyDescent="0.25">
      <c r="G497" s="11"/>
      <c r="H497" s="11"/>
    </row>
    <row r="498" spans="7:8" ht="15" customHeight="1" x14ac:dyDescent="0.25">
      <c r="G498" s="11"/>
      <c r="H498" s="11"/>
    </row>
    <row r="499" spans="7:8" ht="15" customHeight="1" x14ac:dyDescent="0.25">
      <c r="G499" s="11"/>
      <c r="H499" s="11"/>
    </row>
    <row r="500" spans="7:8" ht="15" customHeight="1" x14ac:dyDescent="0.25">
      <c r="G500" s="11"/>
      <c r="H500" s="11"/>
    </row>
    <row r="501" spans="7:8" ht="15" customHeight="1" x14ac:dyDescent="0.25">
      <c r="G501" s="11"/>
      <c r="H501" s="11"/>
    </row>
    <row r="502" spans="7:8" ht="15" customHeight="1" x14ac:dyDescent="0.25">
      <c r="G502" s="11"/>
      <c r="H502" s="11"/>
    </row>
    <row r="503" spans="7:8" ht="15" customHeight="1" x14ac:dyDescent="0.25">
      <c r="G503" s="11"/>
      <c r="H503" s="11"/>
    </row>
    <row r="504" spans="7:8" ht="15" customHeight="1" x14ac:dyDescent="0.25">
      <c r="G504" s="11"/>
      <c r="H504" s="11"/>
    </row>
    <row r="505" spans="7:8" ht="15" customHeight="1" x14ac:dyDescent="0.25">
      <c r="G505" s="11"/>
      <c r="H505" s="11"/>
    </row>
    <row r="506" spans="7:8" ht="15" customHeight="1" x14ac:dyDescent="0.25">
      <c r="G506" s="11"/>
      <c r="H506" s="11"/>
    </row>
    <row r="507" spans="7:8" ht="15" customHeight="1" x14ac:dyDescent="0.25">
      <c r="G507" s="11"/>
      <c r="H507" s="11"/>
    </row>
    <row r="508" spans="7:8" ht="15" customHeight="1" x14ac:dyDescent="0.25">
      <c r="G508" s="11"/>
      <c r="H508" s="11"/>
    </row>
    <row r="509" spans="7:8" ht="15" customHeight="1" x14ac:dyDescent="0.25">
      <c r="G509" s="11"/>
      <c r="H509" s="11"/>
    </row>
  </sheetData>
  <autoFilter ref="A1:R225" xr:uid="{00000000-0009-0000-0000-000000000000}"/>
  <phoneticPr fontId="7" type="noConversion"/>
  <pageMargins left="0.7" right="0.7" top="0.75" bottom="0.75" header="0.3" footer="0.3"/>
  <pageSetup paperSize="9" orientation="portrait" horizontalDpi="360" verticalDpi="360" r:id="rId1"/>
  <ignoredErrors>
    <ignoredError sqref="G3:G8 G13:G15 G19:G22 G24:G29 G32:G33 G35:G37 G40:G43 G47:G59 G65:G66 G81:G82 G91:G97 G99:G104 G126:G127 G132:G135 G141:G143 G147:G149 G150 G152 I18 G161:G162 G173:G174 G178:G180 G77 G83:G85 G176 G163:G165 G136:G137 G116 G189:G190 G194:G195 G210 G213:G221 G68:G75 G87:G89 G105:G115 G118:G120 G121:G122 G144 G166:G170 G181:G184 G191 G196:G198 G199:G203 G222:G224 G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703"/>
  <sheetViews>
    <sheetView tabSelected="1" zoomScaleNormal="100" workbookViewId="0">
      <selection activeCell="D50" sqref="D50"/>
    </sheetView>
  </sheetViews>
  <sheetFormatPr baseColWidth="10" defaultColWidth="8.7109375" defaultRowHeight="15" x14ac:dyDescent="0.25"/>
  <cols>
    <col min="1" max="1" width="11.5703125" customWidth="1"/>
    <col min="2" max="2" width="27.85546875" customWidth="1"/>
    <col min="3" max="3" width="17" style="9" customWidth="1"/>
    <col min="4" max="4" width="28.85546875" style="9" customWidth="1"/>
    <col min="5" max="5" width="10.85546875" style="9" bestFit="1" customWidth="1"/>
    <col min="6" max="6" width="7.140625" customWidth="1"/>
    <col min="7" max="7" width="10" customWidth="1"/>
    <col min="8" max="8" width="13.42578125" customWidth="1"/>
    <col min="9" max="9" width="10.285156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28" bestFit="1" customWidth="1"/>
    <col min="14" max="14" width="20.42578125" bestFit="1" customWidth="1"/>
    <col min="15" max="15" width="21" bestFit="1" customWidth="1"/>
    <col min="16" max="17" width="12.28515625" bestFit="1" customWidth="1"/>
    <col min="18" max="18" width="21.85546875" bestFit="1" customWidth="1"/>
    <col min="19" max="19" width="18.28515625" bestFit="1" customWidth="1"/>
    <col min="20" max="20" width="12" bestFit="1" customWidth="1"/>
    <col min="21" max="21" width="8.42578125" bestFit="1" customWidth="1"/>
    <col min="22" max="22" width="21.85546875" bestFit="1" customWidth="1"/>
    <col min="23" max="23" width="12.140625" bestFit="1" customWidth="1"/>
    <col min="24" max="24" width="7.85546875" bestFit="1" customWidth="1"/>
    <col min="25" max="25" width="20.5703125" bestFit="1" customWidth="1"/>
    <col min="26" max="26" width="37" bestFit="1" customWidth="1"/>
    <col min="27" max="27" width="20.5703125" bestFit="1" customWidth="1"/>
    <col min="28" max="28" width="25.28515625" bestFit="1" customWidth="1"/>
    <col min="29" max="29" width="7.7109375" bestFit="1" customWidth="1"/>
    <col min="30" max="30" width="28.28515625" bestFit="1" customWidth="1"/>
    <col min="31" max="31" width="28.7109375" bestFit="1" customWidth="1"/>
    <col min="32" max="32" width="24.7109375" bestFit="1" customWidth="1"/>
    <col min="33" max="33" width="46.5703125" bestFit="1" customWidth="1"/>
    <col min="34" max="34" width="46" bestFit="1" customWidth="1"/>
    <col min="35" max="35" width="44.42578125" bestFit="1" customWidth="1"/>
    <col min="36" max="36" width="44" bestFit="1" customWidth="1"/>
    <col min="37" max="37" width="41.85546875" bestFit="1" customWidth="1"/>
    <col min="38" max="38" width="44.28515625" bestFit="1" customWidth="1"/>
    <col min="39" max="39" width="33.140625" bestFit="1" customWidth="1"/>
    <col min="40" max="40" width="28.7109375" bestFit="1" customWidth="1"/>
    <col min="41" max="41" width="44" bestFit="1" customWidth="1"/>
    <col min="42" max="42" width="44.42578125" bestFit="1" customWidth="1"/>
    <col min="43" max="43" width="43.85546875" bestFit="1" customWidth="1"/>
    <col min="44" max="44" width="41.7109375" bestFit="1" customWidth="1"/>
    <col min="45" max="45" width="44.140625" bestFit="1" customWidth="1"/>
    <col min="46" max="46" width="28.42578125" bestFit="1" customWidth="1"/>
    <col min="47" max="47" width="24.7109375" bestFit="1" customWidth="1"/>
    <col min="48" max="48" width="15.5703125" bestFit="1" customWidth="1"/>
    <col min="49" max="49" width="15.7109375" bestFit="1" customWidth="1"/>
    <col min="50" max="50" width="24.7109375" bestFit="1" customWidth="1"/>
    <col min="51" max="51" width="20" bestFit="1" customWidth="1"/>
    <col min="52" max="52" width="13.5703125" bestFit="1" customWidth="1"/>
    <col min="53" max="53" width="15.42578125" bestFit="1" customWidth="1"/>
    <col min="54" max="54" width="13.7109375" bestFit="1" customWidth="1"/>
    <col min="55" max="55" width="13" bestFit="1" customWidth="1"/>
    <col min="56" max="56" width="26.42578125" bestFit="1" customWidth="1"/>
    <col min="57" max="57" width="25.7109375" bestFit="1" customWidth="1"/>
    <col min="58" max="58" width="6.85546875" bestFit="1" customWidth="1"/>
    <col min="59" max="59" width="30" bestFit="1" customWidth="1"/>
    <col min="60" max="60" width="20.140625" bestFit="1" customWidth="1"/>
    <col min="61" max="61" width="12.28515625" bestFit="1" customWidth="1"/>
    <col min="62" max="62" width="32" bestFit="1" customWidth="1"/>
    <col min="63" max="63" width="43.5703125" bestFit="1" customWidth="1"/>
    <col min="64" max="64" width="14.42578125" bestFit="1" customWidth="1"/>
    <col min="65" max="65" width="10" bestFit="1" customWidth="1"/>
    <col min="66" max="66" width="9.7109375" bestFit="1" customWidth="1"/>
    <col min="67" max="67" width="45.28515625" bestFit="1" customWidth="1"/>
    <col min="68" max="68" width="13.42578125" bestFit="1" customWidth="1"/>
    <col min="69" max="69" width="11.85546875" bestFit="1" customWidth="1"/>
    <col min="70" max="70" width="12.85546875" bestFit="1" customWidth="1"/>
    <col min="71" max="71" width="5.42578125" bestFit="1" customWidth="1"/>
    <col min="72" max="72" width="8.140625" bestFit="1" customWidth="1"/>
    <col min="73" max="73" width="12.85546875" bestFit="1" customWidth="1"/>
  </cols>
  <sheetData>
    <row r="1" spans="1:8" ht="77.45" customHeight="1" x14ac:dyDescent="0.25"/>
    <row r="2" spans="1:8" hidden="1" x14ac:dyDescent="0.25">
      <c r="A2" s="8" t="s">
        <v>5</v>
      </c>
      <c r="B2" t="s">
        <v>24</v>
      </c>
    </row>
    <row r="4" spans="1:8" x14ac:dyDescent="0.25">
      <c r="A4" s="8" t="s">
        <v>6</v>
      </c>
      <c r="B4" s="8" t="s">
        <v>7</v>
      </c>
      <c r="C4" s="8" t="s">
        <v>8</v>
      </c>
      <c r="D4" s="8" t="s">
        <v>2</v>
      </c>
      <c r="E4" s="10" t="s">
        <v>1</v>
      </c>
      <c r="F4" s="10" t="s">
        <v>0</v>
      </c>
      <c r="G4" s="10" t="s">
        <v>3</v>
      </c>
      <c r="H4" t="s">
        <v>148</v>
      </c>
    </row>
    <row r="5" spans="1:8" x14ac:dyDescent="0.25">
      <c r="A5" t="s">
        <v>25</v>
      </c>
      <c r="B5" t="s">
        <v>149</v>
      </c>
      <c r="C5" t="s">
        <v>26</v>
      </c>
      <c r="D5" t="s">
        <v>23</v>
      </c>
      <c r="E5" t="s">
        <v>22</v>
      </c>
      <c r="F5">
        <v>1</v>
      </c>
      <c r="G5">
        <v>577.16999999999996</v>
      </c>
      <c r="H5" s="13">
        <v>577.16999999999996</v>
      </c>
    </row>
    <row r="6" spans="1:8" x14ac:dyDescent="0.25">
      <c r="C6" t="s">
        <v>150</v>
      </c>
      <c r="D6"/>
      <c r="E6"/>
      <c r="H6" s="13">
        <v>577.16999999999996</v>
      </c>
    </row>
    <row r="7" spans="1:8" x14ac:dyDescent="0.25">
      <c r="C7" t="s">
        <v>73</v>
      </c>
      <c r="D7" t="s">
        <v>120</v>
      </c>
      <c r="E7" t="s">
        <v>119</v>
      </c>
      <c r="F7">
        <v>79</v>
      </c>
      <c r="G7">
        <v>1294.76</v>
      </c>
      <c r="H7" s="13">
        <v>1294.76</v>
      </c>
    </row>
    <row r="8" spans="1:8" x14ac:dyDescent="0.25">
      <c r="C8"/>
      <c r="D8" t="s">
        <v>230</v>
      </c>
      <c r="E8" t="s">
        <v>72</v>
      </c>
      <c r="F8">
        <v>35</v>
      </c>
      <c r="G8">
        <v>577.16999999999996</v>
      </c>
      <c r="H8" s="13">
        <v>577.16999999999996</v>
      </c>
    </row>
    <row r="9" spans="1:8" x14ac:dyDescent="0.25">
      <c r="C9" t="s">
        <v>151</v>
      </c>
      <c r="D9"/>
      <c r="E9"/>
      <c r="H9" s="13">
        <v>1871.9299999999998</v>
      </c>
    </row>
    <row r="10" spans="1:8" x14ac:dyDescent="0.25">
      <c r="C10" t="s">
        <v>229</v>
      </c>
      <c r="D10" t="s">
        <v>120</v>
      </c>
      <c r="E10" s="28">
        <v>45849</v>
      </c>
      <c r="F10">
        <v>113</v>
      </c>
      <c r="G10">
        <v>287.24</v>
      </c>
      <c r="H10" s="13">
        <v>287.24</v>
      </c>
    </row>
    <row r="11" spans="1:8" x14ac:dyDescent="0.25">
      <c r="C11"/>
      <c r="D11"/>
      <c r="E11" s="28">
        <v>45908</v>
      </c>
      <c r="F11">
        <v>120</v>
      </c>
      <c r="G11">
        <v>263.83999999999997</v>
      </c>
      <c r="H11" s="13">
        <v>263.83999999999997</v>
      </c>
    </row>
    <row r="12" spans="1:8" x14ac:dyDescent="0.25">
      <c r="C12"/>
      <c r="D12" t="s">
        <v>230</v>
      </c>
      <c r="E12" s="28">
        <v>45849</v>
      </c>
      <c r="F12">
        <v>112</v>
      </c>
      <c r="G12">
        <v>577.16999999999996</v>
      </c>
      <c r="H12" s="13">
        <v>577.16999999999996</v>
      </c>
    </row>
    <row r="13" spans="1:8" x14ac:dyDescent="0.25">
      <c r="C13" t="s">
        <v>232</v>
      </c>
      <c r="D13"/>
      <c r="E13"/>
      <c r="H13" s="13">
        <v>1128.25</v>
      </c>
    </row>
    <row r="14" spans="1:8" x14ac:dyDescent="0.25">
      <c r="C14" t="s">
        <v>296</v>
      </c>
      <c r="D14" t="s">
        <v>120</v>
      </c>
      <c r="E14" s="28">
        <v>45943</v>
      </c>
      <c r="F14">
        <v>133</v>
      </c>
      <c r="G14">
        <v>408.19</v>
      </c>
      <c r="H14" s="13">
        <v>408.19</v>
      </c>
    </row>
    <row r="15" spans="1:8" x14ac:dyDescent="0.25">
      <c r="C15"/>
      <c r="D15"/>
      <c r="E15" s="28">
        <v>45971</v>
      </c>
      <c r="F15">
        <v>160</v>
      </c>
      <c r="G15">
        <v>408.19</v>
      </c>
      <c r="H15" s="13">
        <v>408.19</v>
      </c>
    </row>
    <row r="16" spans="1:8" x14ac:dyDescent="0.25">
      <c r="C16"/>
      <c r="D16"/>
      <c r="E16" s="28">
        <v>46002</v>
      </c>
      <c r="F16">
        <v>194</v>
      </c>
      <c r="G16">
        <v>265.29000000000002</v>
      </c>
      <c r="H16" s="13">
        <v>265.29000000000002</v>
      </c>
    </row>
    <row r="17" spans="1:8" x14ac:dyDescent="0.25">
      <c r="C17" t="s">
        <v>297</v>
      </c>
      <c r="D17"/>
      <c r="E17"/>
      <c r="H17" s="13">
        <v>1081.67</v>
      </c>
    </row>
    <row r="18" spans="1:8" x14ac:dyDescent="0.25">
      <c r="A18" t="s">
        <v>300</v>
      </c>
      <c r="C18"/>
      <c r="D18"/>
      <c r="E18"/>
      <c r="H18" s="13">
        <v>4659.0200000000004</v>
      </c>
    </row>
    <row r="19" spans="1:8" x14ac:dyDescent="0.25">
      <c r="A19" t="s">
        <v>29</v>
      </c>
      <c r="B19" t="s">
        <v>152</v>
      </c>
      <c r="C19" t="s">
        <v>26</v>
      </c>
      <c r="D19" t="s">
        <v>279</v>
      </c>
      <c r="E19" t="s">
        <v>32</v>
      </c>
      <c r="F19">
        <v>4</v>
      </c>
      <c r="G19">
        <v>76.540000000000006</v>
      </c>
      <c r="H19" s="13">
        <v>76.540000000000006</v>
      </c>
    </row>
    <row r="20" spans="1:8" x14ac:dyDescent="0.25">
      <c r="C20"/>
      <c r="D20"/>
      <c r="E20" t="s">
        <v>61</v>
      </c>
      <c r="F20">
        <v>22</v>
      </c>
      <c r="G20">
        <v>76.540000000000006</v>
      </c>
      <c r="H20" s="13">
        <v>76.540000000000006</v>
      </c>
    </row>
    <row r="21" spans="1:8" x14ac:dyDescent="0.25">
      <c r="C21"/>
      <c r="D21"/>
      <c r="E21" t="s">
        <v>28</v>
      </c>
      <c r="F21">
        <v>2</v>
      </c>
      <c r="G21">
        <v>76.540000000000006</v>
      </c>
      <c r="H21" s="13">
        <v>76.540000000000006</v>
      </c>
    </row>
    <row r="22" spans="1:8" x14ac:dyDescent="0.25">
      <c r="C22" t="s">
        <v>150</v>
      </c>
      <c r="D22"/>
      <c r="E22"/>
      <c r="H22" s="13">
        <v>229.62</v>
      </c>
    </row>
    <row r="23" spans="1:8" x14ac:dyDescent="0.25">
      <c r="C23" t="s">
        <v>73</v>
      </c>
      <c r="D23" t="s">
        <v>279</v>
      </c>
      <c r="E23" t="s">
        <v>72</v>
      </c>
      <c r="F23">
        <v>34</v>
      </c>
      <c r="G23">
        <v>76.540000000000006</v>
      </c>
      <c r="H23" s="13">
        <v>76.540000000000006</v>
      </c>
    </row>
    <row r="24" spans="1:8" x14ac:dyDescent="0.25">
      <c r="C24"/>
      <c r="D24"/>
      <c r="E24" t="s">
        <v>115</v>
      </c>
      <c r="F24">
        <v>75</v>
      </c>
      <c r="G24">
        <v>76.540000000000006</v>
      </c>
      <c r="H24" s="13">
        <v>76.540000000000006</v>
      </c>
    </row>
    <row r="25" spans="1:8" x14ac:dyDescent="0.25">
      <c r="C25"/>
      <c r="D25"/>
      <c r="E25" t="s">
        <v>89</v>
      </c>
      <c r="F25">
        <v>48</v>
      </c>
      <c r="G25">
        <v>76.540000000000006</v>
      </c>
      <c r="H25" s="13">
        <v>76.540000000000006</v>
      </c>
    </row>
    <row r="26" spans="1:8" x14ac:dyDescent="0.25">
      <c r="C26" t="s">
        <v>151</v>
      </c>
      <c r="D26"/>
      <c r="E26"/>
      <c r="H26" s="13">
        <v>229.62</v>
      </c>
    </row>
    <row r="27" spans="1:8" x14ac:dyDescent="0.25">
      <c r="C27" t="s">
        <v>229</v>
      </c>
      <c r="D27" t="s">
        <v>279</v>
      </c>
      <c r="E27" s="28">
        <v>45849</v>
      </c>
      <c r="F27">
        <v>111</v>
      </c>
      <c r="G27">
        <v>76.540000000000006</v>
      </c>
      <c r="H27" s="13">
        <v>76.540000000000006</v>
      </c>
    </row>
    <row r="28" spans="1:8" x14ac:dyDescent="0.25">
      <c r="C28"/>
      <c r="D28"/>
      <c r="E28" s="28">
        <v>45897</v>
      </c>
      <c r="F28">
        <v>117</v>
      </c>
      <c r="G28">
        <v>76.540000000000006</v>
      </c>
      <c r="H28" s="13">
        <v>76.540000000000006</v>
      </c>
    </row>
    <row r="29" spans="1:8" x14ac:dyDescent="0.25">
      <c r="C29"/>
      <c r="D29"/>
      <c r="E29" s="28">
        <v>45905</v>
      </c>
      <c r="F29">
        <v>119</v>
      </c>
      <c r="G29">
        <v>76.540000000000006</v>
      </c>
      <c r="H29" s="13">
        <v>76.540000000000006</v>
      </c>
    </row>
    <row r="30" spans="1:8" x14ac:dyDescent="0.25">
      <c r="C30" t="s">
        <v>232</v>
      </c>
      <c r="D30"/>
      <c r="E30"/>
      <c r="H30" s="13">
        <v>229.62</v>
      </c>
    </row>
    <row r="31" spans="1:8" x14ac:dyDescent="0.25">
      <c r="C31" t="s">
        <v>296</v>
      </c>
      <c r="D31" t="s">
        <v>261</v>
      </c>
      <c r="E31" s="28">
        <v>45975</v>
      </c>
      <c r="F31">
        <v>171</v>
      </c>
      <c r="G31">
        <v>176</v>
      </c>
      <c r="H31" s="13">
        <v>176</v>
      </c>
    </row>
    <row r="32" spans="1:8" x14ac:dyDescent="0.25">
      <c r="C32"/>
      <c r="D32"/>
      <c r="E32" s="28">
        <v>46021</v>
      </c>
      <c r="F32">
        <v>214</v>
      </c>
      <c r="G32">
        <v>108</v>
      </c>
      <c r="H32" s="13">
        <v>108</v>
      </c>
    </row>
    <row r="33" spans="1:8" x14ac:dyDescent="0.25">
      <c r="C33"/>
      <c r="D33"/>
      <c r="E33"/>
      <c r="F33">
        <v>215</v>
      </c>
      <c r="G33">
        <v>975.5</v>
      </c>
      <c r="H33" s="13">
        <v>975.5</v>
      </c>
    </row>
    <row r="34" spans="1:8" x14ac:dyDescent="0.25">
      <c r="C34"/>
      <c r="D34" t="s">
        <v>279</v>
      </c>
      <c r="E34" s="28">
        <v>45937</v>
      </c>
      <c r="F34">
        <v>130</v>
      </c>
      <c r="G34">
        <v>12.1</v>
      </c>
      <c r="H34" s="13">
        <v>12.1</v>
      </c>
    </row>
    <row r="35" spans="1:8" x14ac:dyDescent="0.25">
      <c r="C35"/>
      <c r="D35"/>
      <c r="E35"/>
      <c r="F35">
        <v>131</v>
      </c>
      <c r="G35">
        <v>76.540000000000006</v>
      </c>
      <c r="H35" s="13">
        <v>76.540000000000006</v>
      </c>
    </row>
    <row r="36" spans="1:8" x14ac:dyDescent="0.25">
      <c r="C36"/>
      <c r="D36"/>
      <c r="E36" s="28">
        <v>45971</v>
      </c>
      <c r="F36">
        <v>161</v>
      </c>
      <c r="G36">
        <v>76.540000000000006</v>
      </c>
      <c r="H36" s="13">
        <v>76.540000000000006</v>
      </c>
    </row>
    <row r="37" spans="1:8" x14ac:dyDescent="0.25">
      <c r="C37"/>
      <c r="D37"/>
      <c r="E37" s="28">
        <v>45996</v>
      </c>
      <c r="F37">
        <v>192</v>
      </c>
      <c r="G37">
        <v>76.540000000000006</v>
      </c>
      <c r="H37" s="13">
        <v>76.540000000000006</v>
      </c>
    </row>
    <row r="38" spans="1:8" x14ac:dyDescent="0.25">
      <c r="C38" t="s">
        <v>297</v>
      </c>
      <c r="D38"/>
      <c r="E38"/>
      <c r="H38" s="13">
        <v>1501.2199999999998</v>
      </c>
    </row>
    <row r="39" spans="1:8" x14ac:dyDescent="0.25">
      <c r="A39" t="s">
        <v>153</v>
      </c>
      <c r="C39"/>
      <c r="D39"/>
      <c r="E39"/>
      <c r="H39" s="13">
        <v>2190.08</v>
      </c>
    </row>
    <row r="40" spans="1:8" x14ac:dyDescent="0.25">
      <c r="A40" t="s">
        <v>45</v>
      </c>
      <c r="B40" t="s">
        <v>154</v>
      </c>
      <c r="C40" t="s">
        <v>26</v>
      </c>
      <c r="D40" t="s">
        <v>44</v>
      </c>
      <c r="E40" t="s">
        <v>41</v>
      </c>
      <c r="F40">
        <v>11</v>
      </c>
      <c r="G40">
        <v>13.59</v>
      </c>
      <c r="H40" s="13">
        <v>13.59</v>
      </c>
    </row>
    <row r="41" spans="1:8" x14ac:dyDescent="0.25">
      <c r="C41"/>
      <c r="D41"/>
      <c r="E41"/>
      <c r="F41">
        <v>12</v>
      </c>
      <c r="G41">
        <v>10.9</v>
      </c>
      <c r="H41" s="13">
        <v>10.9</v>
      </c>
    </row>
    <row r="42" spans="1:8" x14ac:dyDescent="0.25">
      <c r="C42"/>
      <c r="D42"/>
      <c r="E42" t="s">
        <v>143</v>
      </c>
      <c r="F42">
        <v>107</v>
      </c>
      <c r="G42">
        <v>38.24</v>
      </c>
      <c r="H42" s="13">
        <v>38.24</v>
      </c>
    </row>
    <row r="43" spans="1:8" x14ac:dyDescent="0.25">
      <c r="C43"/>
      <c r="D43"/>
      <c r="E43"/>
      <c r="F43">
        <v>108</v>
      </c>
      <c r="G43">
        <v>22.99</v>
      </c>
      <c r="H43" s="13">
        <v>22.99</v>
      </c>
    </row>
    <row r="44" spans="1:8" x14ac:dyDescent="0.25">
      <c r="C44" t="s">
        <v>150</v>
      </c>
      <c r="D44"/>
      <c r="E44"/>
      <c r="H44" s="13">
        <v>85.72</v>
      </c>
    </row>
    <row r="45" spans="1:8" x14ac:dyDescent="0.25">
      <c r="C45" t="s">
        <v>229</v>
      </c>
      <c r="D45" t="s">
        <v>126</v>
      </c>
      <c r="E45" s="28">
        <v>45917</v>
      </c>
      <c r="F45">
        <v>125</v>
      </c>
      <c r="G45">
        <v>36.75</v>
      </c>
      <c r="H45" s="13">
        <v>36.75</v>
      </c>
    </row>
    <row r="46" spans="1:8" x14ac:dyDescent="0.25">
      <c r="C46" t="s">
        <v>232</v>
      </c>
      <c r="D46"/>
      <c r="E46"/>
      <c r="H46" s="13">
        <v>36.75</v>
      </c>
    </row>
    <row r="47" spans="1:8" x14ac:dyDescent="0.25">
      <c r="C47" t="s">
        <v>296</v>
      </c>
      <c r="D47" t="s">
        <v>126</v>
      </c>
      <c r="E47" s="28">
        <v>45943</v>
      </c>
      <c r="F47">
        <v>135</v>
      </c>
      <c r="G47">
        <v>88.77</v>
      </c>
      <c r="H47" s="13">
        <v>88.77</v>
      </c>
    </row>
    <row r="48" spans="1:8" x14ac:dyDescent="0.25">
      <c r="C48"/>
      <c r="D48" t="s">
        <v>243</v>
      </c>
      <c r="E48" s="28">
        <v>45951</v>
      </c>
      <c r="F48">
        <v>141</v>
      </c>
      <c r="G48">
        <v>80.11</v>
      </c>
      <c r="H48" s="13">
        <v>80.11</v>
      </c>
    </row>
    <row r="49" spans="1:8" x14ac:dyDescent="0.25">
      <c r="C49" t="s">
        <v>297</v>
      </c>
      <c r="D49"/>
      <c r="E49"/>
      <c r="H49" s="13">
        <v>168.88</v>
      </c>
    </row>
    <row r="50" spans="1:8" x14ac:dyDescent="0.25">
      <c r="A50" t="s">
        <v>301</v>
      </c>
      <c r="C50"/>
      <c r="D50"/>
      <c r="E50"/>
      <c r="H50" s="13">
        <v>291.35000000000002</v>
      </c>
    </row>
    <row r="51" spans="1:8" x14ac:dyDescent="0.25">
      <c r="A51" t="s">
        <v>68</v>
      </c>
      <c r="B51" t="s">
        <v>156</v>
      </c>
      <c r="C51" t="s">
        <v>26</v>
      </c>
      <c r="D51" t="s">
        <v>67</v>
      </c>
      <c r="E51" t="s">
        <v>66</v>
      </c>
      <c r="F51">
        <v>29</v>
      </c>
      <c r="G51">
        <v>2866.26</v>
      </c>
      <c r="H51" s="13">
        <v>2866.26</v>
      </c>
    </row>
    <row r="52" spans="1:8" x14ac:dyDescent="0.25">
      <c r="C52" t="s">
        <v>150</v>
      </c>
      <c r="D52"/>
      <c r="E52"/>
      <c r="H52" s="13">
        <v>2866.26</v>
      </c>
    </row>
    <row r="53" spans="1:8" x14ac:dyDescent="0.25">
      <c r="C53" t="s">
        <v>229</v>
      </c>
      <c r="D53" t="s">
        <v>67</v>
      </c>
      <c r="E53" s="28">
        <v>45937</v>
      </c>
      <c r="F53">
        <v>128</v>
      </c>
      <c r="G53">
        <v>3652.36</v>
      </c>
      <c r="H53" s="13">
        <v>3652.36</v>
      </c>
    </row>
    <row r="54" spans="1:8" x14ac:dyDescent="0.25">
      <c r="C54" t="s">
        <v>232</v>
      </c>
      <c r="D54"/>
      <c r="E54"/>
      <c r="H54" s="13">
        <v>3652.36</v>
      </c>
    </row>
    <row r="55" spans="1:8" x14ac:dyDescent="0.25">
      <c r="A55" t="s">
        <v>302</v>
      </c>
      <c r="C55"/>
      <c r="D55"/>
      <c r="E55"/>
      <c r="H55" s="13">
        <v>6518.6200000000008</v>
      </c>
    </row>
    <row r="56" spans="1:8" x14ac:dyDescent="0.25">
      <c r="A56" t="s">
        <v>43</v>
      </c>
      <c r="B56" t="s">
        <v>157</v>
      </c>
      <c r="C56" t="s">
        <v>26</v>
      </c>
      <c r="D56" t="s">
        <v>47</v>
      </c>
      <c r="E56" t="s">
        <v>41</v>
      </c>
      <c r="F56">
        <v>14</v>
      </c>
      <c r="G56">
        <v>375.44</v>
      </c>
      <c r="H56" s="13">
        <v>375.44</v>
      </c>
    </row>
    <row r="57" spans="1:8" x14ac:dyDescent="0.25">
      <c r="C57"/>
      <c r="D57" t="s">
        <v>44</v>
      </c>
      <c r="E57" t="s">
        <v>66</v>
      </c>
      <c r="F57">
        <v>28</v>
      </c>
      <c r="G57">
        <v>28.89</v>
      </c>
      <c r="H57" s="13">
        <v>28.89</v>
      </c>
    </row>
    <row r="58" spans="1:8" x14ac:dyDescent="0.25">
      <c r="C58"/>
      <c r="D58" t="s">
        <v>48</v>
      </c>
      <c r="E58" t="s">
        <v>41</v>
      </c>
      <c r="F58">
        <v>15</v>
      </c>
      <c r="G58">
        <v>21.33</v>
      </c>
      <c r="H58" s="13">
        <v>21.33</v>
      </c>
    </row>
    <row r="59" spans="1:8" x14ac:dyDescent="0.25">
      <c r="C59"/>
      <c r="D59" t="s">
        <v>70</v>
      </c>
      <c r="E59" t="s">
        <v>69</v>
      </c>
      <c r="F59">
        <v>32</v>
      </c>
      <c r="G59">
        <v>60</v>
      </c>
      <c r="H59" s="13">
        <v>60</v>
      </c>
    </row>
    <row r="60" spans="1:8" x14ac:dyDescent="0.25">
      <c r="C60"/>
      <c r="D60" t="s">
        <v>39</v>
      </c>
      <c r="E60" t="s">
        <v>33</v>
      </c>
      <c r="F60">
        <v>7</v>
      </c>
      <c r="G60">
        <v>11.28</v>
      </c>
      <c r="H60" s="13">
        <v>11.28</v>
      </c>
    </row>
    <row r="61" spans="1:8" x14ac:dyDescent="0.25">
      <c r="C61"/>
      <c r="D61" t="s">
        <v>42</v>
      </c>
      <c r="E61" t="s">
        <v>41</v>
      </c>
      <c r="F61">
        <v>8</v>
      </c>
      <c r="G61">
        <v>10.98</v>
      </c>
      <c r="H61" s="13">
        <v>10.98</v>
      </c>
    </row>
    <row r="62" spans="1:8" x14ac:dyDescent="0.25">
      <c r="C62"/>
      <c r="D62"/>
      <c r="E62"/>
      <c r="F62">
        <v>9</v>
      </c>
      <c r="G62">
        <v>6.35</v>
      </c>
      <c r="H62" s="13">
        <v>6.35</v>
      </c>
    </row>
    <row r="63" spans="1:8" x14ac:dyDescent="0.25">
      <c r="C63"/>
      <c r="D63"/>
      <c r="E63"/>
      <c r="F63">
        <v>10</v>
      </c>
      <c r="G63">
        <v>6</v>
      </c>
      <c r="H63" s="13">
        <v>6</v>
      </c>
    </row>
    <row r="64" spans="1:8" x14ac:dyDescent="0.25">
      <c r="C64" t="s">
        <v>150</v>
      </c>
      <c r="D64"/>
      <c r="E64"/>
      <c r="H64" s="13">
        <v>520.27</v>
      </c>
    </row>
    <row r="65" spans="3:8" x14ac:dyDescent="0.25">
      <c r="C65" t="s">
        <v>51</v>
      </c>
      <c r="D65" t="s">
        <v>50</v>
      </c>
      <c r="E65" t="s">
        <v>41</v>
      </c>
      <c r="F65">
        <v>16</v>
      </c>
      <c r="G65">
        <v>67.97</v>
      </c>
      <c r="H65" s="13">
        <v>67.97</v>
      </c>
    </row>
    <row r="66" spans="3:8" x14ac:dyDescent="0.25">
      <c r="C66" t="s">
        <v>303</v>
      </c>
      <c r="D66"/>
      <c r="E66"/>
      <c r="H66" s="13">
        <v>67.97</v>
      </c>
    </row>
    <row r="67" spans="3:8" x14ac:dyDescent="0.25">
      <c r="C67" t="s">
        <v>73</v>
      </c>
      <c r="D67" t="s">
        <v>114</v>
      </c>
      <c r="E67" t="s">
        <v>109</v>
      </c>
      <c r="F67">
        <v>74</v>
      </c>
      <c r="G67">
        <v>10.9</v>
      </c>
      <c r="H67" s="13">
        <v>10.9</v>
      </c>
    </row>
    <row r="68" spans="3:8" x14ac:dyDescent="0.25">
      <c r="C68"/>
      <c r="D68" t="s">
        <v>108</v>
      </c>
      <c r="E68" t="s">
        <v>106</v>
      </c>
      <c r="F68">
        <v>65</v>
      </c>
      <c r="G68">
        <v>53.65</v>
      </c>
      <c r="H68" s="13">
        <v>53.65</v>
      </c>
    </row>
    <row r="69" spans="3:8" x14ac:dyDescent="0.25">
      <c r="C69"/>
      <c r="D69" t="s">
        <v>82</v>
      </c>
      <c r="E69" t="s">
        <v>80</v>
      </c>
      <c r="F69">
        <v>42</v>
      </c>
      <c r="G69">
        <v>13.98</v>
      </c>
      <c r="H69" s="13">
        <v>13.98</v>
      </c>
    </row>
    <row r="70" spans="3:8" x14ac:dyDescent="0.25">
      <c r="C70"/>
      <c r="D70" t="s">
        <v>102</v>
      </c>
      <c r="E70" t="s">
        <v>101</v>
      </c>
      <c r="F70">
        <v>61</v>
      </c>
      <c r="G70">
        <v>16</v>
      </c>
      <c r="H70" s="13">
        <v>16</v>
      </c>
    </row>
    <row r="71" spans="3:8" x14ac:dyDescent="0.25">
      <c r="C71"/>
      <c r="D71"/>
      <c r="E71"/>
      <c r="F71">
        <v>62</v>
      </c>
      <c r="G71">
        <v>4.95</v>
      </c>
      <c r="H71" s="13">
        <v>4.95</v>
      </c>
    </row>
    <row r="72" spans="3:8" x14ac:dyDescent="0.25">
      <c r="C72"/>
      <c r="D72" t="s">
        <v>125</v>
      </c>
      <c r="E72" t="s">
        <v>121</v>
      </c>
      <c r="F72">
        <v>84</v>
      </c>
      <c r="G72">
        <v>9.25</v>
      </c>
      <c r="H72" s="13">
        <v>9.25</v>
      </c>
    </row>
    <row r="73" spans="3:8" x14ac:dyDescent="0.25">
      <c r="C73"/>
      <c r="D73" t="s">
        <v>84</v>
      </c>
      <c r="E73" t="s">
        <v>83</v>
      </c>
      <c r="F73">
        <v>43</v>
      </c>
      <c r="G73">
        <v>15.65</v>
      </c>
      <c r="H73" s="13">
        <v>15.65</v>
      </c>
    </row>
    <row r="74" spans="3:8" x14ac:dyDescent="0.25">
      <c r="C74"/>
      <c r="D74" t="s">
        <v>85</v>
      </c>
      <c r="E74" t="s">
        <v>83</v>
      </c>
      <c r="F74">
        <v>44</v>
      </c>
      <c r="G74">
        <v>72</v>
      </c>
      <c r="H74" s="13">
        <v>72</v>
      </c>
    </row>
    <row r="75" spans="3:8" x14ac:dyDescent="0.25">
      <c r="C75" t="s">
        <v>151</v>
      </c>
      <c r="D75"/>
      <c r="E75"/>
      <c r="H75" s="13">
        <v>196.38</v>
      </c>
    </row>
    <row r="76" spans="3:8" x14ac:dyDescent="0.25">
      <c r="C76" t="s">
        <v>229</v>
      </c>
      <c r="D76" t="s">
        <v>47</v>
      </c>
      <c r="E76" s="28">
        <v>45862</v>
      </c>
      <c r="F76">
        <v>115</v>
      </c>
      <c r="G76">
        <v>768.85</v>
      </c>
      <c r="H76" s="13">
        <v>768.85</v>
      </c>
    </row>
    <row r="77" spans="3:8" x14ac:dyDescent="0.25">
      <c r="C77"/>
      <c r="D77" t="s">
        <v>39</v>
      </c>
      <c r="E77" s="28">
        <v>45917</v>
      </c>
      <c r="F77">
        <v>122</v>
      </c>
      <c r="G77">
        <v>17.79</v>
      </c>
      <c r="H77" s="13">
        <v>17.79</v>
      </c>
    </row>
    <row r="78" spans="3:8" x14ac:dyDescent="0.25">
      <c r="C78"/>
      <c r="D78"/>
      <c r="E78"/>
      <c r="F78">
        <v>123</v>
      </c>
      <c r="G78">
        <v>16.45</v>
      </c>
      <c r="H78" s="13">
        <v>16.45</v>
      </c>
    </row>
    <row r="79" spans="3:8" x14ac:dyDescent="0.25">
      <c r="C79"/>
      <c r="D79"/>
      <c r="E79" s="28">
        <v>45926</v>
      </c>
      <c r="F79">
        <v>127</v>
      </c>
      <c r="G79">
        <v>16.95</v>
      </c>
      <c r="H79" s="13">
        <v>16.95</v>
      </c>
    </row>
    <row r="80" spans="3:8" x14ac:dyDescent="0.25">
      <c r="C80" t="s">
        <v>232</v>
      </c>
      <c r="D80"/>
      <c r="E80"/>
      <c r="H80" s="13">
        <v>820.04000000000008</v>
      </c>
    </row>
    <row r="81" spans="3:8" x14ac:dyDescent="0.25">
      <c r="C81" t="s">
        <v>296</v>
      </c>
      <c r="D81" t="s">
        <v>114</v>
      </c>
      <c r="E81" s="28">
        <v>46003</v>
      </c>
      <c r="F81">
        <v>202</v>
      </c>
      <c r="G81">
        <v>20.9</v>
      </c>
      <c r="H81" s="13">
        <v>20.9</v>
      </c>
    </row>
    <row r="82" spans="3:8" x14ac:dyDescent="0.25">
      <c r="C82"/>
      <c r="D82" t="s">
        <v>39</v>
      </c>
      <c r="E82" s="28">
        <v>45937</v>
      </c>
      <c r="F82">
        <v>129</v>
      </c>
      <c r="G82">
        <v>6.5</v>
      </c>
      <c r="H82" s="13">
        <v>6.5</v>
      </c>
    </row>
    <row r="83" spans="3:8" x14ac:dyDescent="0.25">
      <c r="C83"/>
      <c r="D83"/>
      <c r="E83" s="28">
        <v>45957</v>
      </c>
      <c r="F83">
        <v>144</v>
      </c>
      <c r="G83">
        <v>12.4</v>
      </c>
      <c r="H83" s="13">
        <v>12.4</v>
      </c>
    </row>
    <row r="84" spans="3:8" x14ac:dyDescent="0.25">
      <c r="C84"/>
      <c r="D84"/>
      <c r="E84" s="28">
        <v>45975</v>
      </c>
      <c r="F84">
        <v>173</v>
      </c>
      <c r="G84">
        <v>53.95</v>
      </c>
      <c r="H84" s="13">
        <v>53.95</v>
      </c>
    </row>
    <row r="85" spans="3:8" x14ac:dyDescent="0.25">
      <c r="C85"/>
      <c r="D85"/>
      <c r="E85" s="28">
        <v>45989</v>
      </c>
      <c r="F85">
        <v>183</v>
      </c>
      <c r="G85">
        <v>3.93</v>
      </c>
      <c r="H85" s="13">
        <v>3.93</v>
      </c>
    </row>
    <row r="86" spans="3:8" x14ac:dyDescent="0.25">
      <c r="C86"/>
      <c r="D86"/>
      <c r="E86"/>
      <c r="F86">
        <v>184</v>
      </c>
      <c r="G86">
        <v>95.99</v>
      </c>
      <c r="H86" s="13">
        <v>95.99</v>
      </c>
    </row>
    <row r="87" spans="3:8" x14ac:dyDescent="0.25">
      <c r="C87"/>
      <c r="D87"/>
      <c r="E87" s="28">
        <v>45994</v>
      </c>
      <c r="F87">
        <v>185</v>
      </c>
      <c r="G87">
        <v>11.75</v>
      </c>
      <c r="H87" s="13">
        <v>11.75</v>
      </c>
    </row>
    <row r="88" spans="3:8" x14ac:dyDescent="0.25">
      <c r="C88"/>
      <c r="D88"/>
      <c r="E88" s="28">
        <v>46007</v>
      </c>
      <c r="F88">
        <v>205</v>
      </c>
      <c r="G88">
        <v>20.9</v>
      </c>
      <c r="H88" s="13">
        <v>20.9</v>
      </c>
    </row>
    <row r="89" spans="3:8" x14ac:dyDescent="0.25">
      <c r="C89"/>
      <c r="D89"/>
      <c r="E89"/>
      <c r="F89">
        <v>206</v>
      </c>
      <c r="G89">
        <v>42.3</v>
      </c>
      <c r="H89" s="13">
        <v>42.3</v>
      </c>
    </row>
    <row r="90" spans="3:8" x14ac:dyDescent="0.25">
      <c r="C90"/>
      <c r="D90" t="s">
        <v>238</v>
      </c>
      <c r="E90" s="28">
        <v>45950</v>
      </c>
      <c r="F90">
        <v>136</v>
      </c>
      <c r="G90">
        <v>72.599999999999994</v>
      </c>
      <c r="H90" s="13">
        <v>72.599999999999994</v>
      </c>
    </row>
    <row r="91" spans="3:8" x14ac:dyDescent="0.25">
      <c r="C91"/>
      <c r="D91"/>
      <c r="E91" s="28">
        <v>45995</v>
      </c>
      <c r="F91">
        <v>190</v>
      </c>
      <c r="G91">
        <v>30</v>
      </c>
      <c r="H91" s="13">
        <v>30</v>
      </c>
    </row>
    <row r="92" spans="3:8" x14ac:dyDescent="0.25">
      <c r="C92"/>
      <c r="D92"/>
      <c r="E92"/>
      <c r="F92">
        <v>191</v>
      </c>
      <c r="G92">
        <v>50.7</v>
      </c>
      <c r="H92" s="13">
        <v>50.7</v>
      </c>
    </row>
    <row r="93" spans="3:8" x14ac:dyDescent="0.25">
      <c r="C93"/>
      <c r="D93" t="s">
        <v>239</v>
      </c>
      <c r="E93" s="28">
        <v>45950</v>
      </c>
      <c r="F93">
        <v>137</v>
      </c>
      <c r="G93">
        <v>145.9</v>
      </c>
      <c r="H93" s="13">
        <v>145.9</v>
      </c>
    </row>
    <row r="94" spans="3:8" x14ac:dyDescent="0.25">
      <c r="C94"/>
      <c r="D94" t="s">
        <v>240</v>
      </c>
      <c r="E94" s="28">
        <v>45950</v>
      </c>
      <c r="F94">
        <v>138</v>
      </c>
      <c r="G94">
        <v>8.4</v>
      </c>
      <c r="H94" s="13">
        <v>8.4</v>
      </c>
    </row>
    <row r="95" spans="3:8" x14ac:dyDescent="0.25">
      <c r="C95"/>
      <c r="D95" t="s">
        <v>244</v>
      </c>
      <c r="E95" s="28">
        <v>45957</v>
      </c>
      <c r="F95">
        <v>143</v>
      </c>
      <c r="G95">
        <v>7.22</v>
      </c>
      <c r="H95" s="13">
        <v>7.22</v>
      </c>
    </row>
    <row r="96" spans="3:8" x14ac:dyDescent="0.25">
      <c r="C96"/>
      <c r="D96" t="s">
        <v>260</v>
      </c>
      <c r="E96" s="28">
        <v>45972</v>
      </c>
      <c r="F96">
        <v>169</v>
      </c>
      <c r="G96">
        <v>119.97</v>
      </c>
      <c r="H96" s="13">
        <v>119.97</v>
      </c>
    </row>
    <row r="97" spans="1:8" x14ac:dyDescent="0.25">
      <c r="C97"/>
      <c r="D97" t="s">
        <v>275</v>
      </c>
      <c r="E97" s="28">
        <v>45972</v>
      </c>
      <c r="F97">
        <v>170</v>
      </c>
      <c r="G97">
        <v>41.22</v>
      </c>
      <c r="H97" s="13">
        <v>41.22</v>
      </c>
    </row>
    <row r="98" spans="1:8" x14ac:dyDescent="0.25">
      <c r="C98"/>
      <c r="D98"/>
      <c r="E98" s="28">
        <v>45994</v>
      </c>
      <c r="F98">
        <v>186</v>
      </c>
      <c r="G98">
        <v>29.94</v>
      </c>
      <c r="H98" s="13">
        <v>29.94</v>
      </c>
    </row>
    <row r="99" spans="1:8" x14ac:dyDescent="0.25">
      <c r="C99"/>
      <c r="D99" t="s">
        <v>281</v>
      </c>
      <c r="E99" s="28">
        <v>46003</v>
      </c>
      <c r="F99">
        <v>203</v>
      </c>
      <c r="G99">
        <v>16.8</v>
      </c>
      <c r="H99" s="13">
        <v>16.8</v>
      </c>
    </row>
    <row r="100" spans="1:8" x14ac:dyDescent="0.25">
      <c r="C100"/>
      <c r="D100" t="s">
        <v>285</v>
      </c>
      <c r="E100" s="28">
        <v>46008</v>
      </c>
      <c r="F100">
        <v>207</v>
      </c>
      <c r="G100">
        <v>19.3</v>
      </c>
      <c r="H100" s="13">
        <v>19.3</v>
      </c>
    </row>
    <row r="101" spans="1:8" x14ac:dyDescent="0.25">
      <c r="C101"/>
      <c r="D101" t="s">
        <v>286</v>
      </c>
      <c r="E101" s="28">
        <v>46010</v>
      </c>
      <c r="F101">
        <v>209</v>
      </c>
      <c r="G101">
        <v>19.600000000000001</v>
      </c>
      <c r="H101" s="13">
        <v>19.600000000000001</v>
      </c>
    </row>
    <row r="102" spans="1:8" x14ac:dyDescent="0.25">
      <c r="C102" t="s">
        <v>297</v>
      </c>
      <c r="D102"/>
      <c r="E102"/>
      <c r="H102" s="13">
        <v>830.2700000000001</v>
      </c>
    </row>
    <row r="103" spans="1:8" x14ac:dyDescent="0.25">
      <c r="A103" t="s">
        <v>299</v>
      </c>
      <c r="C103"/>
      <c r="D103"/>
      <c r="E103"/>
      <c r="H103" s="13">
        <v>2434.9300000000003</v>
      </c>
    </row>
    <row r="104" spans="1:8" x14ac:dyDescent="0.25">
      <c r="A104" t="s">
        <v>31</v>
      </c>
      <c r="B104" t="s">
        <v>158</v>
      </c>
      <c r="C104" t="s">
        <v>26</v>
      </c>
      <c r="D104" t="s">
        <v>230</v>
      </c>
      <c r="E104" t="s">
        <v>28</v>
      </c>
      <c r="F104">
        <v>3</v>
      </c>
      <c r="G104">
        <v>126.86</v>
      </c>
      <c r="H104" s="13">
        <v>126.86</v>
      </c>
    </row>
    <row r="105" spans="1:8" x14ac:dyDescent="0.25">
      <c r="C105" t="s">
        <v>150</v>
      </c>
      <c r="D105"/>
      <c r="E105"/>
      <c r="H105" s="13">
        <v>126.86</v>
      </c>
    </row>
    <row r="106" spans="1:8" x14ac:dyDescent="0.25">
      <c r="A106" t="s">
        <v>304</v>
      </c>
      <c r="C106"/>
      <c r="D106"/>
      <c r="E106"/>
      <c r="H106" s="13">
        <v>126.86</v>
      </c>
    </row>
    <row r="107" spans="1:8" x14ac:dyDescent="0.25">
      <c r="A107" t="s">
        <v>54</v>
      </c>
      <c r="B107" t="s">
        <v>159</v>
      </c>
      <c r="C107" t="s">
        <v>26</v>
      </c>
      <c r="D107" t="s">
        <v>64</v>
      </c>
      <c r="E107" t="s">
        <v>61</v>
      </c>
      <c r="F107">
        <v>25</v>
      </c>
      <c r="G107">
        <v>22.88</v>
      </c>
      <c r="H107" s="13">
        <v>22.88</v>
      </c>
    </row>
    <row r="108" spans="1:8" x14ac:dyDescent="0.25">
      <c r="C108"/>
      <c r="D108" t="s">
        <v>55</v>
      </c>
      <c r="E108" t="s">
        <v>52</v>
      </c>
      <c r="F108">
        <v>18</v>
      </c>
      <c r="G108">
        <v>38.58</v>
      </c>
      <c r="H108" s="13">
        <v>38.58</v>
      </c>
    </row>
    <row r="109" spans="1:8" x14ac:dyDescent="0.25">
      <c r="C109"/>
      <c r="D109" t="s">
        <v>62</v>
      </c>
      <c r="E109" t="s">
        <v>61</v>
      </c>
      <c r="F109">
        <v>23</v>
      </c>
      <c r="G109">
        <v>22.88</v>
      </c>
      <c r="H109" s="13">
        <v>22.88</v>
      </c>
    </row>
    <row r="110" spans="1:8" x14ac:dyDescent="0.25">
      <c r="C110"/>
      <c r="D110" t="s">
        <v>53</v>
      </c>
      <c r="E110" t="s">
        <v>52</v>
      </c>
      <c r="F110">
        <v>17</v>
      </c>
      <c r="G110">
        <v>38.58</v>
      </c>
      <c r="H110" s="13">
        <v>38.58</v>
      </c>
    </row>
    <row r="111" spans="1:8" x14ac:dyDescent="0.25">
      <c r="C111"/>
      <c r="D111" t="s">
        <v>65</v>
      </c>
      <c r="E111" t="s">
        <v>61</v>
      </c>
      <c r="F111">
        <v>26</v>
      </c>
      <c r="G111">
        <v>22.88</v>
      </c>
      <c r="H111" s="13">
        <v>22.88</v>
      </c>
    </row>
    <row r="112" spans="1:8" x14ac:dyDescent="0.25">
      <c r="C112"/>
      <c r="D112" t="s">
        <v>57</v>
      </c>
      <c r="E112" t="s">
        <v>52</v>
      </c>
      <c r="F112">
        <v>20</v>
      </c>
      <c r="G112">
        <v>38.58</v>
      </c>
      <c r="H112" s="13">
        <v>38.58</v>
      </c>
    </row>
    <row r="113" spans="3:8" x14ac:dyDescent="0.25">
      <c r="C113"/>
      <c r="D113" t="s">
        <v>63</v>
      </c>
      <c r="E113" t="s">
        <v>61</v>
      </c>
      <c r="F113">
        <v>24</v>
      </c>
      <c r="G113">
        <v>22.88</v>
      </c>
      <c r="H113" s="13">
        <v>22.88</v>
      </c>
    </row>
    <row r="114" spans="3:8" x14ac:dyDescent="0.25">
      <c r="C114"/>
      <c r="D114" t="s">
        <v>56</v>
      </c>
      <c r="E114" t="s">
        <v>52</v>
      </c>
      <c r="F114">
        <v>19</v>
      </c>
      <c r="G114">
        <v>38.58</v>
      </c>
      <c r="H114" s="13">
        <v>38.58</v>
      </c>
    </row>
    <row r="115" spans="3:8" x14ac:dyDescent="0.25">
      <c r="C115"/>
      <c r="D115" t="s">
        <v>71</v>
      </c>
      <c r="E115" t="s">
        <v>69</v>
      </c>
      <c r="F115">
        <v>33</v>
      </c>
      <c r="G115">
        <v>82</v>
      </c>
      <c r="H115" s="13">
        <v>82</v>
      </c>
    </row>
    <row r="116" spans="3:8" x14ac:dyDescent="0.25">
      <c r="C116" t="s">
        <v>150</v>
      </c>
      <c r="D116"/>
      <c r="E116"/>
      <c r="H116" s="13">
        <v>327.84</v>
      </c>
    </row>
    <row r="117" spans="3:8" x14ac:dyDescent="0.25">
      <c r="C117" t="s">
        <v>73</v>
      </c>
      <c r="D117" t="s">
        <v>142</v>
      </c>
      <c r="E117" t="s">
        <v>141</v>
      </c>
      <c r="F117">
        <v>105</v>
      </c>
      <c r="G117">
        <v>1881</v>
      </c>
      <c r="H117" s="13">
        <v>1881</v>
      </c>
    </row>
    <row r="118" spans="3:8" x14ac:dyDescent="0.25">
      <c r="C118"/>
      <c r="D118" t="s">
        <v>123</v>
      </c>
      <c r="E118" t="s">
        <v>121</v>
      </c>
      <c r="F118">
        <v>82</v>
      </c>
      <c r="G118">
        <v>22.88</v>
      </c>
      <c r="H118" s="13">
        <v>22.88</v>
      </c>
    </row>
    <row r="119" spans="3:8" x14ac:dyDescent="0.25">
      <c r="C119"/>
      <c r="D119" t="s">
        <v>96</v>
      </c>
      <c r="E119" t="s">
        <v>90</v>
      </c>
      <c r="F119">
        <v>54</v>
      </c>
      <c r="G119">
        <v>17.16</v>
      </c>
      <c r="H119" s="13">
        <v>17.16</v>
      </c>
    </row>
    <row r="120" spans="3:8" x14ac:dyDescent="0.25">
      <c r="C120"/>
      <c r="D120" t="s">
        <v>95</v>
      </c>
      <c r="E120" t="s">
        <v>90</v>
      </c>
      <c r="F120">
        <v>53</v>
      </c>
      <c r="G120">
        <v>50.08</v>
      </c>
      <c r="H120" s="13">
        <v>50.08</v>
      </c>
    </row>
    <row r="121" spans="3:8" x14ac:dyDescent="0.25">
      <c r="C121"/>
      <c r="D121" t="s">
        <v>94</v>
      </c>
      <c r="E121" t="s">
        <v>90</v>
      </c>
      <c r="F121">
        <v>52</v>
      </c>
      <c r="G121">
        <v>17.16</v>
      </c>
      <c r="H121" s="13">
        <v>17.16</v>
      </c>
    </row>
    <row r="122" spans="3:8" x14ac:dyDescent="0.25">
      <c r="C122"/>
      <c r="D122" t="s">
        <v>88</v>
      </c>
      <c r="E122" t="s">
        <v>83</v>
      </c>
      <c r="F122">
        <v>47</v>
      </c>
      <c r="G122">
        <v>22.88</v>
      </c>
      <c r="H122" s="13">
        <v>22.88</v>
      </c>
    </row>
    <row r="123" spans="3:8" x14ac:dyDescent="0.25">
      <c r="C123"/>
      <c r="D123" t="s">
        <v>86</v>
      </c>
      <c r="E123" t="s">
        <v>83</v>
      </c>
      <c r="F123">
        <v>45</v>
      </c>
      <c r="G123">
        <v>74.569999999999993</v>
      </c>
      <c r="H123" s="13">
        <v>74.569999999999993</v>
      </c>
    </row>
    <row r="124" spans="3:8" x14ac:dyDescent="0.25">
      <c r="C124"/>
      <c r="D124" t="s">
        <v>124</v>
      </c>
      <c r="E124" t="s">
        <v>121</v>
      </c>
      <c r="F124">
        <v>83</v>
      </c>
      <c r="G124">
        <v>22.88</v>
      </c>
      <c r="H124" s="13">
        <v>22.88</v>
      </c>
    </row>
    <row r="125" spans="3:8" x14ac:dyDescent="0.25">
      <c r="C125"/>
      <c r="D125" t="s">
        <v>122</v>
      </c>
      <c r="E125" t="s">
        <v>121</v>
      </c>
      <c r="F125">
        <v>81</v>
      </c>
      <c r="G125">
        <v>66.77</v>
      </c>
      <c r="H125" s="13">
        <v>66.77</v>
      </c>
    </row>
    <row r="126" spans="3:8" x14ac:dyDescent="0.25">
      <c r="C126"/>
      <c r="D126" t="s">
        <v>87</v>
      </c>
      <c r="E126" t="s">
        <v>83</v>
      </c>
      <c r="F126">
        <v>46</v>
      </c>
      <c r="G126">
        <v>22.88</v>
      </c>
      <c r="H126" s="13">
        <v>22.88</v>
      </c>
    </row>
    <row r="127" spans="3:8" x14ac:dyDescent="0.25">
      <c r="C127"/>
      <c r="D127" t="s">
        <v>147</v>
      </c>
      <c r="E127" t="s">
        <v>145</v>
      </c>
      <c r="F127">
        <v>110</v>
      </c>
      <c r="G127">
        <v>17.16</v>
      </c>
      <c r="H127" s="13">
        <v>17.16</v>
      </c>
    </row>
    <row r="128" spans="3:8" x14ac:dyDescent="0.25">
      <c r="C128"/>
      <c r="D128" t="s">
        <v>146</v>
      </c>
      <c r="E128" t="s">
        <v>145</v>
      </c>
      <c r="F128">
        <v>109</v>
      </c>
      <c r="G128">
        <v>17.16</v>
      </c>
      <c r="H128" s="13">
        <v>17.16</v>
      </c>
    </row>
    <row r="129" spans="1:8" x14ac:dyDescent="0.25">
      <c r="C129" t="s">
        <v>151</v>
      </c>
      <c r="D129"/>
      <c r="E129"/>
      <c r="H129" s="13">
        <v>2232.5800000000004</v>
      </c>
    </row>
    <row r="130" spans="1:8" x14ac:dyDescent="0.25">
      <c r="C130" t="s">
        <v>296</v>
      </c>
      <c r="D130" t="s">
        <v>235</v>
      </c>
      <c r="E130" s="28">
        <v>45937</v>
      </c>
      <c r="F130">
        <v>132</v>
      </c>
      <c r="G130">
        <v>163.80000000000001</v>
      </c>
      <c r="H130" s="13">
        <v>163.80000000000001</v>
      </c>
    </row>
    <row r="131" spans="1:8" x14ac:dyDescent="0.25">
      <c r="C131"/>
      <c r="D131" t="s">
        <v>253</v>
      </c>
      <c r="E131" s="28">
        <v>45966</v>
      </c>
      <c r="F131">
        <v>159</v>
      </c>
      <c r="G131">
        <v>15.6</v>
      </c>
      <c r="H131" s="13">
        <v>15.6</v>
      </c>
    </row>
    <row r="132" spans="1:8" x14ac:dyDescent="0.25">
      <c r="C132"/>
      <c r="D132" t="s">
        <v>256</v>
      </c>
      <c r="E132" s="28">
        <v>45971</v>
      </c>
      <c r="F132">
        <v>166</v>
      </c>
      <c r="G132">
        <v>30.16</v>
      </c>
      <c r="H132" s="13">
        <v>30.16</v>
      </c>
    </row>
    <row r="133" spans="1:8" x14ac:dyDescent="0.25">
      <c r="C133"/>
      <c r="D133" t="s">
        <v>257</v>
      </c>
      <c r="E133" s="28">
        <v>45971</v>
      </c>
      <c r="F133">
        <v>167</v>
      </c>
      <c r="G133">
        <v>2.5499999999999998</v>
      </c>
      <c r="H133" s="13">
        <v>2.5499999999999998</v>
      </c>
    </row>
    <row r="134" spans="1:8" x14ac:dyDescent="0.25">
      <c r="C134"/>
      <c r="D134" t="s">
        <v>273</v>
      </c>
      <c r="E134" s="28">
        <v>45982</v>
      </c>
      <c r="F134">
        <v>179</v>
      </c>
      <c r="G134">
        <v>7</v>
      </c>
      <c r="H134" s="13">
        <v>7</v>
      </c>
    </row>
    <row r="135" spans="1:8" x14ac:dyDescent="0.25">
      <c r="C135"/>
      <c r="D135"/>
      <c r="E135"/>
      <c r="F135">
        <v>180</v>
      </c>
      <c r="G135">
        <v>7</v>
      </c>
      <c r="H135" s="13">
        <v>7</v>
      </c>
    </row>
    <row r="136" spans="1:8" x14ac:dyDescent="0.25">
      <c r="C136"/>
      <c r="D136"/>
      <c r="E136"/>
      <c r="F136">
        <v>181</v>
      </c>
      <c r="G136">
        <v>46.28</v>
      </c>
      <c r="H136" s="13">
        <v>46.28</v>
      </c>
    </row>
    <row r="137" spans="1:8" x14ac:dyDescent="0.25">
      <c r="C137" t="s">
        <v>297</v>
      </c>
      <c r="D137"/>
      <c r="E137"/>
      <c r="H137" s="13">
        <v>272.39</v>
      </c>
    </row>
    <row r="138" spans="1:8" x14ac:dyDescent="0.25">
      <c r="A138" t="s">
        <v>305</v>
      </c>
      <c r="C138"/>
      <c r="D138"/>
      <c r="E138"/>
      <c r="H138" s="13">
        <v>2832.8100000000004</v>
      </c>
    </row>
    <row r="139" spans="1:8" x14ac:dyDescent="0.25">
      <c r="A139" t="s">
        <v>35</v>
      </c>
      <c r="B139" t="s">
        <v>160</v>
      </c>
      <c r="C139" t="s">
        <v>26</v>
      </c>
      <c r="D139" t="s">
        <v>59</v>
      </c>
      <c r="E139" t="s">
        <v>61</v>
      </c>
      <c r="F139">
        <v>27</v>
      </c>
      <c r="G139">
        <v>123</v>
      </c>
      <c r="H139" s="13">
        <v>123</v>
      </c>
    </row>
    <row r="140" spans="1:8" x14ac:dyDescent="0.25">
      <c r="C140"/>
      <c r="D140" t="s">
        <v>46</v>
      </c>
      <c r="E140" t="s">
        <v>41</v>
      </c>
      <c r="F140">
        <v>13</v>
      </c>
      <c r="G140">
        <v>171.24</v>
      </c>
      <c r="H140" s="13">
        <v>171.24</v>
      </c>
    </row>
    <row r="141" spans="1:8" x14ac:dyDescent="0.25">
      <c r="C141"/>
      <c r="D141" t="s">
        <v>34</v>
      </c>
      <c r="E141" t="s">
        <v>80</v>
      </c>
      <c r="F141">
        <v>38</v>
      </c>
      <c r="G141">
        <v>60</v>
      </c>
      <c r="H141" s="13">
        <v>60</v>
      </c>
    </row>
    <row r="142" spans="1:8" x14ac:dyDescent="0.25">
      <c r="C142"/>
      <c r="D142"/>
      <c r="E142"/>
      <c r="F142">
        <v>39</v>
      </c>
      <c r="G142">
        <v>90</v>
      </c>
      <c r="H142" s="13">
        <v>90</v>
      </c>
    </row>
    <row r="143" spans="1:8" x14ac:dyDescent="0.25">
      <c r="C143"/>
      <c r="D143"/>
      <c r="E143"/>
      <c r="F143">
        <v>40</v>
      </c>
      <c r="G143">
        <v>120</v>
      </c>
      <c r="H143" s="13">
        <v>120</v>
      </c>
    </row>
    <row r="144" spans="1:8" x14ac:dyDescent="0.25">
      <c r="C144"/>
      <c r="D144"/>
      <c r="E144" t="s">
        <v>33</v>
      </c>
      <c r="F144">
        <v>5</v>
      </c>
      <c r="G144">
        <v>120</v>
      </c>
      <c r="H144" s="13">
        <v>120</v>
      </c>
    </row>
    <row r="145" spans="3:8" x14ac:dyDescent="0.25">
      <c r="C145"/>
      <c r="D145"/>
      <c r="E145"/>
      <c r="F145">
        <v>6</v>
      </c>
      <c r="G145">
        <v>150</v>
      </c>
      <c r="H145" s="13">
        <v>150</v>
      </c>
    </row>
    <row r="146" spans="3:8" x14ac:dyDescent="0.25">
      <c r="C146"/>
      <c r="D146"/>
      <c r="E146" t="s">
        <v>66</v>
      </c>
      <c r="F146">
        <v>30</v>
      </c>
      <c r="G146">
        <v>90</v>
      </c>
      <c r="H146" s="13">
        <v>90</v>
      </c>
    </row>
    <row r="147" spans="3:8" x14ac:dyDescent="0.25">
      <c r="C147"/>
      <c r="D147"/>
      <c r="E147"/>
      <c r="F147">
        <v>31</v>
      </c>
      <c r="G147">
        <v>90</v>
      </c>
      <c r="H147" s="13">
        <v>90</v>
      </c>
    </row>
    <row r="148" spans="3:8" x14ac:dyDescent="0.25">
      <c r="C148" t="s">
        <v>150</v>
      </c>
      <c r="D148"/>
      <c r="E148"/>
      <c r="H148" s="13">
        <v>1014.24</v>
      </c>
    </row>
    <row r="149" spans="3:8" x14ac:dyDescent="0.25">
      <c r="C149" t="s">
        <v>73</v>
      </c>
      <c r="D149" t="s">
        <v>107</v>
      </c>
      <c r="E149" t="s">
        <v>109</v>
      </c>
      <c r="F149">
        <v>68</v>
      </c>
      <c r="G149">
        <v>624</v>
      </c>
      <c r="H149" s="13">
        <v>624</v>
      </c>
    </row>
    <row r="150" spans="3:8" x14ac:dyDescent="0.25">
      <c r="C150"/>
      <c r="D150"/>
      <c r="E150" t="s">
        <v>106</v>
      </c>
      <c r="F150">
        <v>64</v>
      </c>
      <c r="G150">
        <v>377</v>
      </c>
      <c r="H150" s="13">
        <v>377</v>
      </c>
    </row>
    <row r="151" spans="3:8" x14ac:dyDescent="0.25">
      <c r="C151"/>
      <c r="D151" t="s">
        <v>48</v>
      </c>
      <c r="E151" t="s">
        <v>121</v>
      </c>
      <c r="F151">
        <v>80</v>
      </c>
      <c r="G151">
        <v>85.58</v>
      </c>
      <c r="H151" s="13">
        <v>85.58</v>
      </c>
    </row>
    <row r="152" spans="3:8" x14ac:dyDescent="0.25">
      <c r="C152"/>
      <c r="D152"/>
      <c r="E152" t="s">
        <v>134</v>
      </c>
      <c r="F152">
        <v>101</v>
      </c>
      <c r="G152">
        <v>11.18</v>
      </c>
      <c r="H152" s="13">
        <v>11.18</v>
      </c>
    </row>
    <row r="153" spans="3:8" x14ac:dyDescent="0.25">
      <c r="C153"/>
      <c r="D153" t="s">
        <v>78</v>
      </c>
      <c r="E153" t="s">
        <v>90</v>
      </c>
      <c r="F153">
        <v>55</v>
      </c>
      <c r="G153">
        <v>2226</v>
      </c>
      <c r="H153" s="13">
        <v>2226</v>
      </c>
    </row>
    <row r="154" spans="3:8" x14ac:dyDescent="0.25">
      <c r="C154"/>
      <c r="D154" t="s">
        <v>110</v>
      </c>
      <c r="E154" t="s">
        <v>109</v>
      </c>
      <c r="F154">
        <v>69</v>
      </c>
      <c r="G154">
        <v>15</v>
      </c>
      <c r="H154" s="13">
        <v>15</v>
      </c>
    </row>
    <row r="155" spans="3:8" x14ac:dyDescent="0.25">
      <c r="C155"/>
      <c r="D155" t="s">
        <v>111</v>
      </c>
      <c r="E155" t="s">
        <v>109</v>
      </c>
      <c r="F155">
        <v>70</v>
      </c>
      <c r="G155">
        <v>15</v>
      </c>
      <c r="H155" s="13">
        <v>15</v>
      </c>
    </row>
    <row r="156" spans="3:8" x14ac:dyDescent="0.25">
      <c r="C156"/>
      <c r="D156" t="s">
        <v>112</v>
      </c>
      <c r="E156" t="s">
        <v>109</v>
      </c>
      <c r="F156">
        <v>71</v>
      </c>
      <c r="G156">
        <v>60</v>
      </c>
      <c r="H156" s="13">
        <v>60</v>
      </c>
    </row>
    <row r="157" spans="3:8" x14ac:dyDescent="0.25">
      <c r="C157"/>
      <c r="D157"/>
      <c r="E157"/>
      <c r="F157">
        <v>72</v>
      </c>
      <c r="G157">
        <v>60</v>
      </c>
      <c r="H157" s="13">
        <v>60</v>
      </c>
    </row>
    <row r="158" spans="3:8" x14ac:dyDescent="0.25">
      <c r="C158"/>
      <c r="D158" t="s">
        <v>144</v>
      </c>
      <c r="E158" t="s">
        <v>143</v>
      </c>
      <c r="F158">
        <v>106</v>
      </c>
      <c r="G158">
        <v>20</v>
      </c>
      <c r="H158" s="13">
        <v>20</v>
      </c>
    </row>
    <row r="159" spans="3:8" x14ac:dyDescent="0.25">
      <c r="C159"/>
      <c r="D159" t="s">
        <v>104</v>
      </c>
      <c r="E159" t="s">
        <v>101</v>
      </c>
      <c r="F159">
        <v>63</v>
      </c>
      <c r="G159">
        <v>1000</v>
      </c>
      <c r="H159" s="13">
        <v>1000</v>
      </c>
    </row>
    <row r="160" spans="3:8" x14ac:dyDescent="0.25">
      <c r="C160"/>
      <c r="D160" t="s">
        <v>132</v>
      </c>
      <c r="E160" t="s">
        <v>128</v>
      </c>
      <c r="F160">
        <v>95</v>
      </c>
      <c r="G160">
        <v>15.96</v>
      </c>
      <c r="H160" s="13">
        <v>15.96</v>
      </c>
    </row>
    <row r="161" spans="3:8" x14ac:dyDescent="0.25">
      <c r="C161"/>
      <c r="D161" t="s">
        <v>91</v>
      </c>
      <c r="E161" t="s">
        <v>90</v>
      </c>
      <c r="F161">
        <v>49</v>
      </c>
      <c r="G161">
        <v>80.260000000000005</v>
      </c>
      <c r="H161" s="13">
        <v>80.260000000000005</v>
      </c>
    </row>
    <row r="162" spans="3:8" x14ac:dyDescent="0.25">
      <c r="C162"/>
      <c r="D162" t="s">
        <v>113</v>
      </c>
      <c r="E162" t="s">
        <v>109</v>
      </c>
      <c r="F162">
        <v>73</v>
      </c>
      <c r="G162">
        <v>52</v>
      </c>
      <c r="H162" s="13">
        <v>52</v>
      </c>
    </row>
    <row r="163" spans="3:8" x14ac:dyDescent="0.25">
      <c r="C163"/>
      <c r="D163" t="s">
        <v>127</v>
      </c>
      <c r="E163" t="s">
        <v>121</v>
      </c>
      <c r="F163">
        <v>87</v>
      </c>
      <c r="G163">
        <v>98</v>
      </c>
      <c r="H163" s="13">
        <v>98</v>
      </c>
    </row>
    <row r="164" spans="3:8" x14ac:dyDescent="0.25">
      <c r="C164"/>
      <c r="D164" t="s">
        <v>130</v>
      </c>
      <c r="E164" t="s">
        <v>128</v>
      </c>
      <c r="F164">
        <v>93</v>
      </c>
      <c r="G164">
        <v>557.5</v>
      </c>
      <c r="H164" s="13">
        <v>557.5</v>
      </c>
    </row>
    <row r="165" spans="3:8" x14ac:dyDescent="0.25">
      <c r="C165"/>
      <c r="D165"/>
      <c r="E165"/>
      <c r="F165">
        <v>94</v>
      </c>
      <c r="G165">
        <v>1115</v>
      </c>
      <c r="H165" s="13">
        <v>1115</v>
      </c>
    </row>
    <row r="166" spans="3:8" x14ac:dyDescent="0.25">
      <c r="C166"/>
      <c r="D166" t="s">
        <v>138</v>
      </c>
      <c r="E166" t="s">
        <v>134</v>
      </c>
      <c r="F166">
        <v>102</v>
      </c>
      <c r="G166">
        <v>1009.75</v>
      </c>
      <c r="H166" s="13">
        <v>1009.75</v>
      </c>
    </row>
    <row r="167" spans="3:8" x14ac:dyDescent="0.25">
      <c r="C167"/>
      <c r="D167" t="s">
        <v>46</v>
      </c>
      <c r="E167" t="s">
        <v>80</v>
      </c>
      <c r="F167">
        <v>41</v>
      </c>
      <c r="G167">
        <v>269.95</v>
      </c>
      <c r="H167" s="13">
        <v>269.95</v>
      </c>
    </row>
    <row r="168" spans="3:8" x14ac:dyDescent="0.25">
      <c r="C168"/>
      <c r="D168"/>
      <c r="E168" t="s">
        <v>134</v>
      </c>
      <c r="F168">
        <v>100</v>
      </c>
      <c r="G168">
        <v>316.16000000000003</v>
      </c>
      <c r="H168" s="13">
        <v>316.16000000000003</v>
      </c>
    </row>
    <row r="169" spans="3:8" x14ac:dyDescent="0.25">
      <c r="C169"/>
      <c r="D169" t="s">
        <v>34</v>
      </c>
      <c r="E169" t="s">
        <v>109</v>
      </c>
      <c r="F169">
        <v>66</v>
      </c>
      <c r="G169">
        <v>120</v>
      </c>
      <c r="H169" s="13">
        <v>120</v>
      </c>
    </row>
    <row r="170" spans="3:8" x14ac:dyDescent="0.25">
      <c r="C170"/>
      <c r="D170"/>
      <c r="E170"/>
      <c r="F170">
        <v>67</v>
      </c>
      <c r="G170">
        <v>120</v>
      </c>
      <c r="H170" s="13">
        <v>120</v>
      </c>
    </row>
    <row r="171" spans="3:8" x14ac:dyDescent="0.25">
      <c r="C171"/>
      <c r="D171"/>
      <c r="E171" t="s">
        <v>128</v>
      </c>
      <c r="F171">
        <v>90</v>
      </c>
      <c r="G171">
        <v>310</v>
      </c>
      <c r="H171" s="13">
        <v>310</v>
      </c>
    </row>
    <row r="172" spans="3:8" x14ac:dyDescent="0.25">
      <c r="C172"/>
      <c r="D172"/>
      <c r="E172"/>
      <c r="F172">
        <v>92</v>
      </c>
      <c r="G172">
        <v>314.5</v>
      </c>
      <c r="H172" s="13">
        <v>314.5</v>
      </c>
    </row>
    <row r="173" spans="3:8" x14ac:dyDescent="0.25">
      <c r="C173"/>
      <c r="D173"/>
      <c r="E173" t="s">
        <v>90</v>
      </c>
      <c r="F173">
        <v>56</v>
      </c>
      <c r="G173">
        <v>90</v>
      </c>
      <c r="H173" s="13">
        <v>90</v>
      </c>
    </row>
    <row r="174" spans="3:8" x14ac:dyDescent="0.25">
      <c r="C174"/>
      <c r="D174"/>
      <c r="E174"/>
      <c r="F174">
        <v>57</v>
      </c>
      <c r="G174">
        <v>120</v>
      </c>
      <c r="H174" s="13">
        <v>120</v>
      </c>
    </row>
    <row r="175" spans="3:8" x14ac:dyDescent="0.25">
      <c r="C175"/>
      <c r="D175"/>
      <c r="E175" s="28">
        <v>45836</v>
      </c>
      <c r="F175">
        <v>89</v>
      </c>
      <c r="G175">
        <v>347.5</v>
      </c>
      <c r="H175" s="13">
        <v>347.5</v>
      </c>
    </row>
    <row r="176" spans="3:8" x14ac:dyDescent="0.25">
      <c r="C176"/>
      <c r="D176"/>
      <c r="E176"/>
      <c r="F176">
        <v>91</v>
      </c>
      <c r="G176">
        <v>148</v>
      </c>
      <c r="H176" s="13">
        <v>148</v>
      </c>
    </row>
    <row r="177" spans="3:8" x14ac:dyDescent="0.25">
      <c r="C177"/>
      <c r="D177" t="s">
        <v>93</v>
      </c>
      <c r="E177" t="s">
        <v>90</v>
      </c>
      <c r="F177">
        <v>50</v>
      </c>
      <c r="G177">
        <v>377</v>
      </c>
      <c r="H177" s="13">
        <v>377</v>
      </c>
    </row>
    <row r="178" spans="3:8" x14ac:dyDescent="0.25">
      <c r="C178"/>
      <c r="D178"/>
      <c r="E178"/>
      <c r="F178">
        <v>51</v>
      </c>
      <c r="G178">
        <v>624</v>
      </c>
      <c r="H178" s="13">
        <v>624</v>
      </c>
    </row>
    <row r="179" spans="3:8" x14ac:dyDescent="0.25">
      <c r="C179"/>
      <c r="D179" t="s">
        <v>135</v>
      </c>
      <c r="E179" t="s">
        <v>134</v>
      </c>
      <c r="F179">
        <v>97</v>
      </c>
      <c r="G179">
        <v>85</v>
      </c>
      <c r="H179" s="13">
        <v>85</v>
      </c>
    </row>
    <row r="180" spans="3:8" x14ac:dyDescent="0.25">
      <c r="C180"/>
      <c r="D180"/>
      <c r="E180"/>
      <c r="F180">
        <v>98</v>
      </c>
      <c r="G180">
        <v>850</v>
      </c>
      <c r="H180" s="13">
        <v>850</v>
      </c>
    </row>
    <row r="181" spans="3:8" x14ac:dyDescent="0.25">
      <c r="C181"/>
      <c r="D181" t="s">
        <v>136</v>
      </c>
      <c r="E181" t="s">
        <v>134</v>
      </c>
      <c r="F181">
        <v>99</v>
      </c>
      <c r="G181">
        <v>913</v>
      </c>
      <c r="H181" s="13">
        <v>913</v>
      </c>
    </row>
    <row r="182" spans="3:8" x14ac:dyDescent="0.25">
      <c r="C182"/>
      <c r="D182" t="s">
        <v>126</v>
      </c>
      <c r="E182" t="s">
        <v>121</v>
      </c>
      <c r="F182">
        <v>85</v>
      </c>
      <c r="G182">
        <v>437.29</v>
      </c>
      <c r="H182" s="13">
        <v>437.29</v>
      </c>
    </row>
    <row r="183" spans="3:8" x14ac:dyDescent="0.25">
      <c r="C183"/>
      <c r="D183" t="s">
        <v>139</v>
      </c>
      <c r="E183" t="s">
        <v>134</v>
      </c>
      <c r="F183">
        <v>103</v>
      </c>
      <c r="G183">
        <v>560</v>
      </c>
      <c r="H183" s="13">
        <v>560</v>
      </c>
    </row>
    <row r="184" spans="3:8" x14ac:dyDescent="0.25">
      <c r="C184"/>
      <c r="D184" t="s">
        <v>50</v>
      </c>
      <c r="E184" t="s">
        <v>121</v>
      </c>
      <c r="F184">
        <v>86</v>
      </c>
      <c r="G184">
        <v>107.82</v>
      </c>
      <c r="H184" s="13">
        <v>107.82</v>
      </c>
    </row>
    <row r="185" spans="3:8" x14ac:dyDescent="0.25">
      <c r="C185"/>
      <c r="D185" t="s">
        <v>140</v>
      </c>
      <c r="E185" t="s">
        <v>134</v>
      </c>
      <c r="F185">
        <v>104</v>
      </c>
      <c r="G185">
        <v>264</v>
      </c>
      <c r="H185" s="13">
        <v>264</v>
      </c>
    </row>
    <row r="186" spans="3:8" x14ac:dyDescent="0.25">
      <c r="C186" t="s">
        <v>151</v>
      </c>
      <c r="D186"/>
      <c r="E186"/>
      <c r="H186" s="13">
        <v>13796.45</v>
      </c>
    </row>
    <row r="187" spans="3:8" x14ac:dyDescent="0.25">
      <c r="C187" t="s">
        <v>229</v>
      </c>
      <c r="D187" t="s">
        <v>48</v>
      </c>
      <c r="E187" s="28">
        <v>45926</v>
      </c>
      <c r="F187">
        <v>126</v>
      </c>
      <c r="G187">
        <v>9.7100000000000009</v>
      </c>
      <c r="H187" s="13">
        <v>9.7100000000000009</v>
      </c>
    </row>
    <row r="188" spans="3:8" x14ac:dyDescent="0.25">
      <c r="C188"/>
      <c r="D188" t="s">
        <v>126</v>
      </c>
      <c r="E188" s="28">
        <v>45897</v>
      </c>
      <c r="F188">
        <v>118</v>
      </c>
      <c r="G188">
        <v>4801.2700000000004</v>
      </c>
      <c r="H188" s="13">
        <v>4801.2700000000004</v>
      </c>
    </row>
    <row r="189" spans="3:8" x14ac:dyDescent="0.25">
      <c r="C189"/>
      <c r="D189" t="s">
        <v>231</v>
      </c>
      <c r="E189" s="28">
        <v>45860</v>
      </c>
      <c r="F189">
        <v>114</v>
      </c>
      <c r="G189">
        <v>165</v>
      </c>
      <c r="H189" s="13">
        <v>165</v>
      </c>
    </row>
    <row r="190" spans="3:8" x14ac:dyDescent="0.25">
      <c r="C190"/>
      <c r="D190" t="s">
        <v>233</v>
      </c>
      <c r="E190" s="28">
        <v>45862</v>
      </c>
      <c r="F190">
        <v>116</v>
      </c>
      <c r="G190">
        <v>45.5</v>
      </c>
      <c r="H190" s="13">
        <v>45.5</v>
      </c>
    </row>
    <row r="191" spans="3:8" x14ac:dyDescent="0.25">
      <c r="C191"/>
      <c r="D191" t="s">
        <v>234</v>
      </c>
      <c r="E191" s="28">
        <v>45917</v>
      </c>
      <c r="F191">
        <v>124</v>
      </c>
      <c r="G191">
        <v>144</v>
      </c>
      <c r="H191" s="13">
        <v>144</v>
      </c>
    </row>
    <row r="192" spans="3:8" x14ac:dyDescent="0.25">
      <c r="C192" t="s">
        <v>232</v>
      </c>
      <c r="D192"/>
      <c r="E192"/>
      <c r="H192" s="13">
        <v>5165.4800000000005</v>
      </c>
    </row>
    <row r="193" spans="3:8" x14ac:dyDescent="0.25">
      <c r="C193" t="s">
        <v>296</v>
      </c>
      <c r="D193" t="s">
        <v>44</v>
      </c>
      <c r="E193" s="28">
        <v>45957</v>
      </c>
      <c r="F193">
        <v>146</v>
      </c>
      <c r="G193">
        <v>17.98</v>
      </c>
      <c r="H193" s="13">
        <v>17.98</v>
      </c>
    </row>
    <row r="194" spans="3:8" x14ac:dyDescent="0.25">
      <c r="C194"/>
      <c r="D194" t="s">
        <v>48</v>
      </c>
      <c r="E194" s="28">
        <v>45982</v>
      </c>
      <c r="F194">
        <v>178</v>
      </c>
      <c r="G194">
        <v>214.26</v>
      </c>
      <c r="H194" s="13">
        <v>214.26</v>
      </c>
    </row>
    <row r="195" spans="3:8" x14ac:dyDescent="0.25">
      <c r="C195"/>
      <c r="D195"/>
      <c r="E195" s="28">
        <v>45994</v>
      </c>
      <c r="F195">
        <v>187</v>
      </c>
      <c r="G195">
        <v>40.479999999999997</v>
      </c>
      <c r="H195" s="13">
        <v>40.479999999999997</v>
      </c>
    </row>
    <row r="196" spans="3:8" x14ac:dyDescent="0.25">
      <c r="C196"/>
      <c r="D196" t="s">
        <v>113</v>
      </c>
      <c r="E196" s="28">
        <v>45996</v>
      </c>
      <c r="F196">
        <v>193</v>
      </c>
      <c r="G196">
        <v>150.9</v>
      </c>
      <c r="H196" s="13">
        <v>150.9</v>
      </c>
    </row>
    <row r="197" spans="3:8" x14ac:dyDescent="0.25">
      <c r="C197"/>
      <c r="D197" t="s">
        <v>130</v>
      </c>
      <c r="E197" s="28">
        <v>45957</v>
      </c>
      <c r="F197">
        <v>147</v>
      </c>
      <c r="G197">
        <v>143</v>
      </c>
      <c r="H197" s="13">
        <v>143</v>
      </c>
    </row>
    <row r="198" spans="3:8" x14ac:dyDescent="0.25">
      <c r="C198"/>
      <c r="D198"/>
      <c r="E198"/>
      <c r="F198">
        <v>148</v>
      </c>
      <c r="G198">
        <v>400</v>
      </c>
      <c r="H198" s="13">
        <v>400</v>
      </c>
    </row>
    <row r="199" spans="3:8" x14ac:dyDescent="0.25">
      <c r="C199"/>
      <c r="D199" t="s">
        <v>46</v>
      </c>
      <c r="E199" s="28">
        <v>45951</v>
      </c>
      <c r="F199">
        <v>142</v>
      </c>
      <c r="G199">
        <v>297.12</v>
      </c>
      <c r="H199" s="13">
        <v>297.12</v>
      </c>
    </row>
    <row r="200" spans="3:8" x14ac:dyDescent="0.25">
      <c r="C200"/>
      <c r="D200"/>
      <c r="E200" s="28">
        <v>45975</v>
      </c>
      <c r="F200">
        <v>172</v>
      </c>
      <c r="G200">
        <v>158.91999999999999</v>
      </c>
      <c r="H200" s="13">
        <v>158.91999999999999</v>
      </c>
    </row>
    <row r="201" spans="3:8" x14ac:dyDescent="0.25">
      <c r="C201"/>
      <c r="D201"/>
      <c r="E201" s="28">
        <v>46003</v>
      </c>
      <c r="F201">
        <v>195</v>
      </c>
      <c r="G201">
        <v>158.91999999999999</v>
      </c>
      <c r="H201" s="13">
        <v>158.91999999999999</v>
      </c>
    </row>
    <row r="202" spans="3:8" x14ac:dyDescent="0.25">
      <c r="C202"/>
      <c r="D202" t="s">
        <v>34</v>
      </c>
      <c r="E202" s="28">
        <v>45971</v>
      </c>
      <c r="F202">
        <v>164</v>
      </c>
      <c r="G202">
        <v>140</v>
      </c>
      <c r="H202" s="13">
        <v>140</v>
      </c>
    </row>
    <row r="203" spans="3:8" x14ac:dyDescent="0.25">
      <c r="C203"/>
      <c r="D203"/>
      <c r="E203"/>
      <c r="F203">
        <v>165</v>
      </c>
      <c r="G203">
        <v>35</v>
      </c>
      <c r="H203" s="13">
        <v>35</v>
      </c>
    </row>
    <row r="204" spans="3:8" x14ac:dyDescent="0.25">
      <c r="C204"/>
      <c r="D204"/>
      <c r="E204" s="28">
        <v>46003</v>
      </c>
      <c r="F204">
        <v>197</v>
      </c>
      <c r="G204">
        <v>175</v>
      </c>
      <c r="H204" s="13">
        <v>175</v>
      </c>
    </row>
    <row r="205" spans="3:8" x14ac:dyDescent="0.25">
      <c r="C205"/>
      <c r="D205"/>
      <c r="E205"/>
      <c r="F205">
        <v>198</v>
      </c>
      <c r="G205">
        <v>175</v>
      </c>
      <c r="H205" s="13">
        <v>175</v>
      </c>
    </row>
    <row r="206" spans="3:8" x14ac:dyDescent="0.25">
      <c r="C206"/>
      <c r="D206"/>
      <c r="E206"/>
      <c r="F206">
        <v>199</v>
      </c>
      <c r="G206">
        <v>105</v>
      </c>
      <c r="H206" s="13">
        <v>105</v>
      </c>
    </row>
    <row r="207" spans="3:8" x14ac:dyDescent="0.25">
      <c r="C207"/>
      <c r="D207"/>
      <c r="E207"/>
      <c r="F207">
        <v>200</v>
      </c>
      <c r="G207">
        <v>400</v>
      </c>
      <c r="H207" s="13">
        <v>400</v>
      </c>
    </row>
    <row r="208" spans="3:8" x14ac:dyDescent="0.25">
      <c r="C208"/>
      <c r="D208"/>
      <c r="E208"/>
      <c r="F208">
        <v>201</v>
      </c>
      <c r="G208">
        <v>105</v>
      </c>
      <c r="H208" s="13">
        <v>105</v>
      </c>
    </row>
    <row r="209" spans="3:8" x14ac:dyDescent="0.25">
      <c r="C209"/>
      <c r="D209" t="s">
        <v>126</v>
      </c>
      <c r="E209" s="28">
        <v>45982</v>
      </c>
      <c r="F209">
        <v>177</v>
      </c>
      <c r="G209">
        <v>384.05</v>
      </c>
      <c r="H209" s="13">
        <v>384.05</v>
      </c>
    </row>
    <row r="210" spans="3:8" x14ac:dyDescent="0.25">
      <c r="C210"/>
      <c r="D210"/>
      <c r="E210" s="28">
        <v>45994</v>
      </c>
      <c r="F210">
        <v>188</v>
      </c>
      <c r="G210">
        <v>74.510000000000005</v>
      </c>
      <c r="H210" s="13">
        <v>74.510000000000005</v>
      </c>
    </row>
    <row r="211" spans="3:8" x14ac:dyDescent="0.25">
      <c r="C211"/>
      <c r="D211"/>
      <c r="E211" s="28">
        <v>46021</v>
      </c>
      <c r="F211">
        <v>211</v>
      </c>
      <c r="G211">
        <v>474.9</v>
      </c>
      <c r="H211" s="13">
        <v>474.9</v>
      </c>
    </row>
    <row r="212" spans="3:8" x14ac:dyDescent="0.25">
      <c r="C212"/>
      <c r="D212"/>
      <c r="E212"/>
      <c r="F212">
        <v>212</v>
      </c>
      <c r="G212">
        <v>87.54</v>
      </c>
      <c r="H212" s="13">
        <v>87.54</v>
      </c>
    </row>
    <row r="213" spans="3:8" x14ac:dyDescent="0.25">
      <c r="C213"/>
      <c r="D213"/>
      <c r="E213"/>
      <c r="F213">
        <v>213</v>
      </c>
      <c r="G213">
        <v>137.84</v>
      </c>
      <c r="H213" s="13">
        <v>137.84</v>
      </c>
    </row>
    <row r="214" spans="3:8" x14ac:dyDescent="0.25">
      <c r="C214"/>
      <c r="D214"/>
      <c r="E214"/>
      <c r="F214">
        <v>219</v>
      </c>
      <c r="G214">
        <v>36.51</v>
      </c>
      <c r="H214" s="13">
        <v>36.51</v>
      </c>
    </row>
    <row r="215" spans="3:8" x14ac:dyDescent="0.25">
      <c r="C215"/>
      <c r="D215" t="s">
        <v>50</v>
      </c>
      <c r="E215" s="28">
        <v>45971</v>
      </c>
      <c r="F215">
        <v>163</v>
      </c>
      <c r="G215">
        <v>198.02</v>
      </c>
      <c r="H215" s="13">
        <v>198.02</v>
      </c>
    </row>
    <row r="216" spans="3:8" x14ac:dyDescent="0.25">
      <c r="C216"/>
      <c r="D216" t="s">
        <v>233</v>
      </c>
      <c r="E216" s="28">
        <v>46010</v>
      </c>
      <c r="F216">
        <v>208</v>
      </c>
      <c r="G216">
        <v>20.100000000000001</v>
      </c>
      <c r="H216" s="13">
        <v>20.100000000000001</v>
      </c>
    </row>
    <row r="217" spans="3:8" x14ac:dyDescent="0.25">
      <c r="C217"/>
      <c r="D217" t="s">
        <v>242</v>
      </c>
      <c r="E217" s="28">
        <v>45950</v>
      </c>
      <c r="F217">
        <v>140</v>
      </c>
      <c r="G217">
        <v>164.58</v>
      </c>
      <c r="H217" s="13">
        <v>164.58</v>
      </c>
    </row>
    <row r="218" spans="3:8" x14ac:dyDescent="0.25">
      <c r="C218"/>
      <c r="D218" t="s">
        <v>245</v>
      </c>
      <c r="E218" s="28">
        <v>45957</v>
      </c>
      <c r="F218">
        <v>145</v>
      </c>
      <c r="G218">
        <v>11.99</v>
      </c>
      <c r="H218" s="13">
        <v>11.99</v>
      </c>
    </row>
    <row r="219" spans="3:8" x14ac:dyDescent="0.25">
      <c r="C219"/>
      <c r="D219" t="s">
        <v>246</v>
      </c>
      <c r="E219" s="28">
        <v>45958</v>
      </c>
      <c r="F219">
        <v>150</v>
      </c>
      <c r="G219">
        <v>300</v>
      </c>
      <c r="H219" s="13">
        <v>300</v>
      </c>
    </row>
    <row r="220" spans="3:8" x14ac:dyDescent="0.25">
      <c r="C220"/>
      <c r="D220" t="s">
        <v>254</v>
      </c>
      <c r="E220" s="28">
        <v>45971</v>
      </c>
      <c r="F220">
        <v>162</v>
      </c>
      <c r="G220">
        <v>48.34</v>
      </c>
      <c r="H220" s="13">
        <v>48.34</v>
      </c>
    </row>
    <row r="221" spans="3:8" x14ac:dyDescent="0.25">
      <c r="C221"/>
      <c r="D221"/>
      <c r="E221" s="28">
        <v>46003</v>
      </c>
      <c r="F221">
        <v>196</v>
      </c>
      <c r="G221">
        <v>177.15</v>
      </c>
      <c r="H221" s="13">
        <v>177.15</v>
      </c>
    </row>
    <row r="222" spans="3:8" x14ac:dyDescent="0.25">
      <c r="C222"/>
      <c r="D222" t="s">
        <v>259</v>
      </c>
      <c r="E222" s="28">
        <v>45972</v>
      </c>
      <c r="F222">
        <v>168</v>
      </c>
      <c r="G222">
        <v>67</v>
      </c>
      <c r="H222" s="13">
        <v>67</v>
      </c>
    </row>
    <row r="223" spans="3:8" x14ac:dyDescent="0.25">
      <c r="C223"/>
      <c r="D223" t="s">
        <v>266</v>
      </c>
      <c r="E223" s="28">
        <v>45979</v>
      </c>
      <c r="F223">
        <v>176</v>
      </c>
      <c r="G223">
        <v>400</v>
      </c>
      <c r="H223" s="13">
        <v>400</v>
      </c>
    </row>
    <row r="224" spans="3:8" x14ac:dyDescent="0.25">
      <c r="C224"/>
      <c r="D224" t="s">
        <v>277</v>
      </c>
      <c r="E224" s="28">
        <v>45994</v>
      </c>
      <c r="F224">
        <v>189</v>
      </c>
      <c r="G224">
        <v>235.44</v>
      </c>
      <c r="H224" s="13">
        <v>235.44</v>
      </c>
    </row>
    <row r="225" spans="1:8" x14ac:dyDescent="0.25">
      <c r="C225"/>
      <c r="D225" t="s">
        <v>289</v>
      </c>
      <c r="E225" s="28">
        <v>46021</v>
      </c>
      <c r="F225">
        <v>217</v>
      </c>
      <c r="G225">
        <v>78.989999999999995</v>
      </c>
      <c r="H225" s="13">
        <v>78.989999999999995</v>
      </c>
    </row>
    <row r="226" spans="1:8" x14ac:dyDescent="0.25">
      <c r="C226"/>
      <c r="D226" t="s">
        <v>291</v>
      </c>
      <c r="E226" s="28">
        <v>46021</v>
      </c>
      <c r="F226">
        <v>218</v>
      </c>
      <c r="G226">
        <v>390</v>
      </c>
      <c r="H226" s="13">
        <v>390</v>
      </c>
    </row>
    <row r="227" spans="1:8" x14ac:dyDescent="0.25">
      <c r="C227"/>
      <c r="D227" t="s">
        <v>292</v>
      </c>
      <c r="E227" s="28">
        <v>46031</v>
      </c>
      <c r="F227">
        <v>220</v>
      </c>
      <c r="G227">
        <v>153</v>
      </c>
      <c r="H227" s="13">
        <v>153</v>
      </c>
    </row>
    <row r="228" spans="1:8" x14ac:dyDescent="0.25">
      <c r="C228"/>
      <c r="D228"/>
      <c r="E228"/>
      <c r="F228">
        <v>221</v>
      </c>
      <c r="G228">
        <v>120</v>
      </c>
      <c r="H228" s="13">
        <v>120</v>
      </c>
    </row>
    <row r="229" spans="1:8" x14ac:dyDescent="0.25">
      <c r="C229"/>
      <c r="D229" t="s">
        <v>293</v>
      </c>
      <c r="E229" s="28">
        <v>46031</v>
      </c>
      <c r="F229">
        <v>222</v>
      </c>
      <c r="G229">
        <v>610.70000000000005</v>
      </c>
      <c r="H229" s="13">
        <v>610.70000000000005</v>
      </c>
    </row>
    <row r="230" spans="1:8" x14ac:dyDescent="0.25">
      <c r="C230" t="s">
        <v>297</v>
      </c>
      <c r="D230"/>
      <c r="E230"/>
      <c r="H230" s="13">
        <v>6887.24</v>
      </c>
    </row>
    <row r="231" spans="1:8" x14ac:dyDescent="0.25">
      <c r="A231" t="s">
        <v>306</v>
      </c>
      <c r="C231"/>
      <c r="D231"/>
      <c r="E231"/>
      <c r="H231" s="13">
        <v>26863.41</v>
      </c>
    </row>
    <row r="232" spans="1:8" x14ac:dyDescent="0.25">
      <c r="A232" t="s">
        <v>182</v>
      </c>
      <c r="B232" t="s">
        <v>183</v>
      </c>
      <c r="C232" t="s">
        <v>296</v>
      </c>
      <c r="D232" t="s">
        <v>236</v>
      </c>
      <c r="E232" s="28">
        <v>45943</v>
      </c>
      <c r="F232">
        <v>134</v>
      </c>
      <c r="G232">
        <v>704</v>
      </c>
      <c r="H232" s="13">
        <v>704</v>
      </c>
    </row>
    <row r="233" spans="1:8" x14ac:dyDescent="0.25">
      <c r="C233"/>
      <c r="D233"/>
      <c r="E233" s="28">
        <v>45989</v>
      </c>
      <c r="F233">
        <v>182</v>
      </c>
      <c r="G233">
        <v>110</v>
      </c>
      <c r="H233" s="13">
        <v>110</v>
      </c>
    </row>
    <row r="234" spans="1:8" x14ac:dyDescent="0.25">
      <c r="C234" t="s">
        <v>297</v>
      </c>
      <c r="D234"/>
      <c r="E234"/>
      <c r="H234" s="13">
        <v>814</v>
      </c>
    </row>
    <row r="235" spans="1:8" x14ac:dyDescent="0.25">
      <c r="A235" t="s">
        <v>307</v>
      </c>
      <c r="C235"/>
      <c r="D235"/>
      <c r="E235"/>
      <c r="H235" s="13">
        <v>814</v>
      </c>
    </row>
    <row r="236" spans="1:8" x14ac:dyDescent="0.25">
      <c r="A236" t="s">
        <v>187</v>
      </c>
      <c r="B236" t="s">
        <v>188</v>
      </c>
      <c r="C236" t="s">
        <v>296</v>
      </c>
      <c r="D236" t="s">
        <v>241</v>
      </c>
      <c r="E236" s="28">
        <v>45950</v>
      </c>
      <c r="F236">
        <v>139</v>
      </c>
      <c r="G236">
        <v>83.25</v>
      </c>
      <c r="H236" s="13">
        <v>83.25</v>
      </c>
    </row>
    <row r="237" spans="1:8" x14ac:dyDescent="0.25">
      <c r="C237"/>
      <c r="D237" t="s">
        <v>293</v>
      </c>
      <c r="E237" s="28">
        <v>46021</v>
      </c>
      <c r="F237">
        <v>216</v>
      </c>
      <c r="G237">
        <v>989.3</v>
      </c>
      <c r="H237" s="13">
        <v>989.3</v>
      </c>
    </row>
    <row r="238" spans="1:8" x14ac:dyDescent="0.25">
      <c r="C238" t="s">
        <v>297</v>
      </c>
      <c r="D238"/>
      <c r="E238"/>
      <c r="H238" s="13">
        <v>1072.55</v>
      </c>
    </row>
    <row r="239" spans="1:8" x14ac:dyDescent="0.25">
      <c r="A239" t="s">
        <v>308</v>
      </c>
      <c r="C239"/>
      <c r="D239"/>
      <c r="E239"/>
      <c r="H239" s="13">
        <v>1072.55</v>
      </c>
    </row>
    <row r="240" spans="1:8" x14ac:dyDescent="0.25">
      <c r="A240" t="s">
        <v>184</v>
      </c>
      <c r="B240" t="s">
        <v>227</v>
      </c>
      <c r="C240" t="s">
        <v>296</v>
      </c>
      <c r="D240" t="s">
        <v>263</v>
      </c>
      <c r="E240" s="28">
        <v>45975</v>
      </c>
      <c r="F240">
        <v>174</v>
      </c>
      <c r="G240">
        <v>18182.05</v>
      </c>
      <c r="H240" s="13">
        <v>18182.05</v>
      </c>
    </row>
    <row r="241" spans="1:8" x14ac:dyDescent="0.25">
      <c r="C241" t="s">
        <v>297</v>
      </c>
      <c r="D241"/>
      <c r="E241"/>
      <c r="H241" s="13">
        <v>18182.05</v>
      </c>
    </row>
    <row r="242" spans="1:8" x14ac:dyDescent="0.25">
      <c r="A242" t="s">
        <v>309</v>
      </c>
      <c r="C242"/>
      <c r="D242"/>
      <c r="E242"/>
      <c r="H242" s="13">
        <v>18182.05</v>
      </c>
    </row>
    <row r="243" spans="1:8" x14ac:dyDescent="0.25">
      <c r="A243" t="s">
        <v>161</v>
      </c>
      <c r="C243"/>
      <c r="D243"/>
      <c r="E243"/>
      <c r="H243" s="13">
        <v>65985.680000000008</v>
      </c>
    </row>
    <row r="244" spans="1:8" x14ac:dyDescent="0.25">
      <c r="C244"/>
      <c r="D244"/>
      <c r="E244"/>
    </row>
    <row r="245" spans="1:8" x14ac:dyDescent="0.25">
      <c r="C245"/>
      <c r="D245"/>
      <c r="E245"/>
    </row>
    <row r="246" spans="1:8" x14ac:dyDescent="0.25">
      <c r="C246"/>
      <c r="D246"/>
      <c r="E246"/>
    </row>
    <row r="247" spans="1:8" x14ac:dyDescent="0.25">
      <c r="C247"/>
      <c r="D247"/>
      <c r="E247"/>
    </row>
    <row r="248" spans="1:8" x14ac:dyDescent="0.25">
      <c r="C248"/>
      <c r="D248"/>
      <c r="E248"/>
    </row>
    <row r="249" spans="1:8" x14ac:dyDescent="0.25">
      <c r="C249"/>
      <c r="D249"/>
      <c r="E249"/>
    </row>
    <row r="250" spans="1:8" x14ac:dyDescent="0.25">
      <c r="C250"/>
      <c r="D250"/>
      <c r="E250"/>
    </row>
    <row r="251" spans="1:8" x14ac:dyDescent="0.25">
      <c r="C251"/>
      <c r="D251"/>
      <c r="E251"/>
    </row>
    <row r="252" spans="1:8" x14ac:dyDescent="0.25">
      <c r="C252"/>
      <c r="D252"/>
      <c r="E252"/>
    </row>
    <row r="253" spans="1:8" x14ac:dyDescent="0.25">
      <c r="C253"/>
      <c r="D253"/>
      <c r="E253"/>
    </row>
    <row r="254" spans="1:8" x14ac:dyDescent="0.25">
      <c r="C254"/>
      <c r="D254"/>
      <c r="E254"/>
    </row>
    <row r="255" spans="1:8" x14ac:dyDescent="0.25">
      <c r="C255"/>
      <c r="D255"/>
      <c r="E255"/>
    </row>
    <row r="256" spans="1:8" x14ac:dyDescent="0.25">
      <c r="C256"/>
      <c r="D256"/>
      <c r="E256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</sheetData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478"/>
  <sheetViews>
    <sheetView topLeftCell="A34" zoomScaleNormal="100" workbookViewId="0">
      <selection activeCell="G5" sqref="G5"/>
    </sheetView>
  </sheetViews>
  <sheetFormatPr baseColWidth="10" defaultColWidth="8.7109375" defaultRowHeight="15" x14ac:dyDescent="0.25"/>
  <cols>
    <col min="1" max="1" width="12.85546875" bestFit="1" customWidth="1"/>
    <col min="2" max="2" width="31.5703125" customWidth="1"/>
    <col min="3" max="3" width="18.85546875" style="9" customWidth="1"/>
    <col min="4" max="4" width="23.42578125" style="9" customWidth="1"/>
    <col min="5" max="5" width="10.85546875" style="9" bestFit="1" customWidth="1"/>
    <col min="6" max="6" width="7.42578125" customWidth="1"/>
    <col min="7" max="7" width="9.140625" customWidth="1"/>
    <col min="8" max="8" width="14.85546875" customWidth="1"/>
    <col min="9" max="10" width="6.140625" bestFit="1" customWidth="1"/>
    <col min="11" max="11" width="3.28515625" bestFit="1" customWidth="1"/>
    <col min="12" max="13" width="6.140625" bestFit="1" customWidth="1"/>
    <col min="14" max="14" width="3.28515625" bestFit="1" customWidth="1"/>
    <col min="15" max="15" width="6.140625" bestFit="1" customWidth="1"/>
    <col min="16" max="16" width="3.28515625" bestFit="1" customWidth="1"/>
    <col min="17" max="23" width="6.140625" bestFit="1" customWidth="1"/>
    <col min="24" max="24" width="3.28515625" bestFit="1" customWidth="1"/>
    <col min="25" max="25" width="6.140625" bestFit="1" customWidth="1"/>
    <col min="26" max="26" width="3.28515625" bestFit="1" customWidth="1"/>
    <col min="27" max="28" width="6.140625" bestFit="1" customWidth="1"/>
    <col min="29" max="29" width="3.28515625" bestFit="1" customWidth="1"/>
    <col min="30" max="32" width="6.140625" bestFit="1" customWidth="1"/>
    <col min="33" max="34" width="3.28515625" bestFit="1" customWidth="1"/>
    <col min="35" max="35" width="6.140625" bestFit="1" customWidth="1"/>
    <col min="36" max="37" width="3.28515625" bestFit="1" customWidth="1"/>
    <col min="38" max="38" width="7.140625" bestFit="1" customWidth="1"/>
    <col min="39" max="40" width="4.42578125" bestFit="1" customWidth="1"/>
    <col min="41" max="41" width="7.140625" bestFit="1" customWidth="1"/>
    <col min="42" max="42" width="4.42578125" bestFit="1" customWidth="1"/>
    <col min="43" max="43" width="7.140625" bestFit="1" customWidth="1"/>
    <col min="44" max="45" width="4.42578125" bestFit="1" customWidth="1"/>
    <col min="46" max="46" width="7.140625" bestFit="1" customWidth="1"/>
    <col min="47" max="47" width="4.42578125" bestFit="1" customWidth="1"/>
    <col min="48" max="48" width="6.140625" bestFit="1" customWidth="1"/>
    <col min="49" max="50" width="7.140625" bestFit="1" customWidth="1"/>
    <col min="51" max="52" width="4.42578125" bestFit="1" customWidth="1"/>
    <col min="53" max="53" width="7.140625" bestFit="1" customWidth="1"/>
    <col min="54" max="54" width="6.140625" bestFit="1" customWidth="1"/>
    <col min="55" max="55" width="4.42578125" bestFit="1" customWidth="1"/>
    <col min="56" max="56" width="7.140625" bestFit="1" customWidth="1"/>
    <col min="57" max="59" width="4.42578125" bestFit="1" customWidth="1"/>
    <col min="60" max="60" width="5.42578125" bestFit="1" customWidth="1"/>
    <col min="61" max="61" width="8.140625" bestFit="1" customWidth="1"/>
    <col min="62" max="62" width="5.42578125" bestFit="1" customWidth="1"/>
    <col min="63" max="63" width="8.140625" bestFit="1" customWidth="1"/>
    <col min="64" max="65" width="5.42578125" bestFit="1" customWidth="1"/>
    <col min="66" max="66" width="8.140625" bestFit="1" customWidth="1"/>
    <col min="67" max="67" width="9.28515625" bestFit="1" customWidth="1"/>
    <col min="68" max="68" width="11.140625" bestFit="1" customWidth="1"/>
    <col min="69" max="69" width="12.85546875" bestFit="1" customWidth="1"/>
  </cols>
  <sheetData>
    <row r="1" spans="1:8" ht="83.45" customHeight="1" x14ac:dyDescent="0.25"/>
    <row r="2" spans="1:8" hidden="1" x14ac:dyDescent="0.25">
      <c r="A2" s="8" t="s">
        <v>5</v>
      </c>
      <c r="B2" t="s">
        <v>20</v>
      </c>
    </row>
    <row r="4" spans="1:8" x14ac:dyDescent="0.25">
      <c r="A4" s="8" t="s">
        <v>6</v>
      </c>
      <c r="B4" s="8" t="s">
        <v>7</v>
      </c>
      <c r="C4" s="8" t="s">
        <v>8</v>
      </c>
      <c r="D4" s="8" t="s">
        <v>2</v>
      </c>
      <c r="E4" s="10" t="s">
        <v>1</v>
      </c>
      <c r="F4" s="10" t="s">
        <v>0</v>
      </c>
      <c r="G4" s="8" t="s">
        <v>4</v>
      </c>
      <c r="H4" t="s">
        <v>162</v>
      </c>
    </row>
    <row r="5" spans="1:8" x14ac:dyDescent="0.25">
      <c r="A5" t="s">
        <v>76</v>
      </c>
      <c r="B5" t="s">
        <v>203</v>
      </c>
      <c r="C5" t="s">
        <v>73</v>
      </c>
      <c r="D5" t="s">
        <v>75</v>
      </c>
      <c r="E5" t="s">
        <v>74</v>
      </c>
      <c r="F5">
        <v>36</v>
      </c>
      <c r="G5">
        <v>8648</v>
      </c>
      <c r="H5" s="13">
        <v>8648</v>
      </c>
    </row>
    <row r="6" spans="1:8" x14ac:dyDescent="0.25">
      <c r="C6"/>
      <c r="D6"/>
      <c r="E6" t="s">
        <v>133</v>
      </c>
      <c r="F6">
        <v>96</v>
      </c>
      <c r="G6">
        <v>6486</v>
      </c>
      <c r="H6" s="13">
        <v>6486</v>
      </c>
    </row>
    <row r="7" spans="1:8" x14ac:dyDescent="0.25">
      <c r="C7" t="s">
        <v>151</v>
      </c>
      <c r="D7"/>
      <c r="E7"/>
      <c r="H7" s="13">
        <v>15134</v>
      </c>
    </row>
    <row r="8" spans="1:8" x14ac:dyDescent="0.25">
      <c r="C8" t="s">
        <v>296</v>
      </c>
      <c r="D8" t="s">
        <v>75</v>
      </c>
      <c r="E8" s="28">
        <v>45966</v>
      </c>
      <c r="F8">
        <v>152</v>
      </c>
      <c r="G8">
        <v>6486</v>
      </c>
      <c r="H8" s="13">
        <v>6486</v>
      </c>
    </row>
    <row r="9" spans="1:8" x14ac:dyDescent="0.25">
      <c r="C9"/>
      <c r="D9"/>
      <c r="E9" s="28">
        <v>46021</v>
      </c>
      <c r="F9">
        <v>210</v>
      </c>
      <c r="G9">
        <v>6558</v>
      </c>
      <c r="H9" s="13">
        <v>6558</v>
      </c>
    </row>
    <row r="10" spans="1:8" x14ac:dyDescent="0.25">
      <c r="C10" t="s">
        <v>297</v>
      </c>
      <c r="D10"/>
      <c r="E10"/>
      <c r="H10" s="13">
        <v>13044</v>
      </c>
    </row>
    <row r="11" spans="1:8" x14ac:dyDescent="0.25">
      <c r="A11" t="s">
        <v>164</v>
      </c>
      <c r="C11"/>
      <c r="D11"/>
      <c r="E11"/>
      <c r="H11" s="13">
        <v>28178</v>
      </c>
    </row>
    <row r="12" spans="1:8" x14ac:dyDescent="0.25">
      <c r="A12" t="s">
        <v>79</v>
      </c>
      <c r="B12" t="s">
        <v>217</v>
      </c>
      <c r="C12" t="s">
        <v>73</v>
      </c>
      <c r="D12" t="s">
        <v>78</v>
      </c>
      <c r="E12" t="s">
        <v>77</v>
      </c>
      <c r="F12">
        <v>37</v>
      </c>
      <c r="G12">
        <v>2226</v>
      </c>
      <c r="H12" s="13">
        <v>2226</v>
      </c>
    </row>
    <row r="13" spans="1:8" x14ac:dyDescent="0.25">
      <c r="C13" t="s">
        <v>151</v>
      </c>
      <c r="D13"/>
      <c r="E13"/>
      <c r="H13" s="13">
        <v>2226</v>
      </c>
    </row>
    <row r="14" spans="1:8" x14ac:dyDescent="0.25">
      <c r="C14" t="s">
        <v>296</v>
      </c>
      <c r="D14" t="s">
        <v>247</v>
      </c>
      <c r="E14" s="28">
        <v>45966</v>
      </c>
      <c r="F14">
        <v>153</v>
      </c>
      <c r="G14">
        <v>1313</v>
      </c>
      <c r="H14" s="13">
        <v>1313</v>
      </c>
    </row>
    <row r="15" spans="1:8" x14ac:dyDescent="0.25">
      <c r="C15"/>
      <c r="D15"/>
      <c r="E15"/>
      <c r="F15">
        <v>154</v>
      </c>
      <c r="G15">
        <v>400</v>
      </c>
      <c r="H15" s="13">
        <v>400</v>
      </c>
    </row>
    <row r="16" spans="1:8" x14ac:dyDescent="0.25">
      <c r="C16"/>
      <c r="D16"/>
      <c r="E16"/>
      <c r="F16">
        <v>155</v>
      </c>
      <c r="G16">
        <v>2226</v>
      </c>
      <c r="H16" s="13">
        <v>2226</v>
      </c>
    </row>
    <row r="17" spans="1:8" x14ac:dyDescent="0.25">
      <c r="C17"/>
      <c r="D17"/>
      <c r="E17"/>
      <c r="F17">
        <v>156</v>
      </c>
      <c r="G17">
        <v>400</v>
      </c>
      <c r="H17" s="13">
        <v>400</v>
      </c>
    </row>
    <row r="18" spans="1:8" x14ac:dyDescent="0.25">
      <c r="C18"/>
      <c r="D18"/>
      <c r="E18"/>
      <c r="F18">
        <v>157</v>
      </c>
      <c r="G18">
        <v>400</v>
      </c>
      <c r="H18" s="13">
        <v>400</v>
      </c>
    </row>
    <row r="19" spans="1:8" x14ac:dyDescent="0.25">
      <c r="C19" t="s">
        <v>297</v>
      </c>
      <c r="D19"/>
      <c r="E19"/>
      <c r="H19" s="13">
        <v>4739</v>
      </c>
    </row>
    <row r="20" spans="1:8" x14ac:dyDescent="0.25">
      <c r="A20" t="s">
        <v>165</v>
      </c>
      <c r="C20"/>
      <c r="D20"/>
      <c r="E20"/>
      <c r="H20" s="13">
        <v>6965</v>
      </c>
    </row>
    <row r="21" spans="1:8" x14ac:dyDescent="0.25">
      <c r="A21" t="s">
        <v>60</v>
      </c>
      <c r="B21" t="s">
        <v>218</v>
      </c>
      <c r="C21" t="s">
        <v>26</v>
      </c>
      <c r="D21" t="s">
        <v>59</v>
      </c>
      <c r="E21" t="s">
        <v>58</v>
      </c>
      <c r="F21">
        <v>21</v>
      </c>
      <c r="G21">
        <v>123</v>
      </c>
      <c r="H21" s="13">
        <v>123</v>
      </c>
    </row>
    <row r="22" spans="1:8" x14ac:dyDescent="0.25">
      <c r="C22" t="s">
        <v>150</v>
      </c>
      <c r="D22"/>
      <c r="E22"/>
      <c r="H22" s="13">
        <v>123</v>
      </c>
    </row>
    <row r="23" spans="1:8" x14ac:dyDescent="0.25">
      <c r="C23" t="s">
        <v>73</v>
      </c>
      <c r="D23" t="s">
        <v>116</v>
      </c>
      <c r="E23" t="s">
        <v>115</v>
      </c>
      <c r="F23">
        <v>76</v>
      </c>
      <c r="G23">
        <v>624</v>
      </c>
      <c r="H23" s="13">
        <v>624</v>
      </c>
    </row>
    <row r="24" spans="1:8" x14ac:dyDescent="0.25">
      <c r="C24"/>
      <c r="D24" t="s">
        <v>99</v>
      </c>
      <c r="E24" t="s">
        <v>97</v>
      </c>
      <c r="F24">
        <v>59</v>
      </c>
      <c r="G24">
        <v>308</v>
      </c>
      <c r="H24" s="13">
        <v>308</v>
      </c>
    </row>
    <row r="25" spans="1:8" x14ac:dyDescent="0.25">
      <c r="C25"/>
      <c r="D25" t="s">
        <v>118</v>
      </c>
      <c r="E25" t="s">
        <v>115</v>
      </c>
      <c r="F25">
        <v>78</v>
      </c>
      <c r="G25">
        <v>320</v>
      </c>
      <c r="H25" s="13">
        <v>320</v>
      </c>
    </row>
    <row r="26" spans="1:8" x14ac:dyDescent="0.25">
      <c r="C26"/>
      <c r="D26" t="s">
        <v>129</v>
      </c>
      <c r="E26" t="s">
        <v>128</v>
      </c>
      <c r="F26">
        <v>88</v>
      </c>
      <c r="G26">
        <v>137</v>
      </c>
      <c r="H26" s="13">
        <v>137</v>
      </c>
    </row>
    <row r="27" spans="1:8" x14ac:dyDescent="0.25">
      <c r="C27"/>
      <c r="D27" t="s">
        <v>117</v>
      </c>
      <c r="E27" t="s">
        <v>115</v>
      </c>
      <c r="F27">
        <v>77</v>
      </c>
      <c r="G27">
        <v>550</v>
      </c>
      <c r="H27" s="13">
        <v>550</v>
      </c>
    </row>
    <row r="28" spans="1:8" x14ac:dyDescent="0.25">
      <c r="C28"/>
      <c r="D28" t="s">
        <v>98</v>
      </c>
      <c r="E28" t="s">
        <v>97</v>
      </c>
      <c r="F28">
        <v>58</v>
      </c>
      <c r="G28">
        <v>1015</v>
      </c>
      <c r="H28" s="13">
        <v>1015</v>
      </c>
    </row>
    <row r="29" spans="1:8" x14ac:dyDescent="0.25">
      <c r="C29"/>
      <c r="D29" t="s">
        <v>100</v>
      </c>
      <c r="E29" t="s">
        <v>97</v>
      </c>
      <c r="F29">
        <v>60</v>
      </c>
      <c r="G29">
        <v>624</v>
      </c>
      <c r="H29" s="13">
        <v>624</v>
      </c>
    </row>
    <row r="30" spans="1:8" x14ac:dyDescent="0.25">
      <c r="C30" t="s">
        <v>151</v>
      </c>
      <c r="D30"/>
      <c r="E30"/>
      <c r="H30" s="13">
        <v>3578</v>
      </c>
    </row>
    <row r="31" spans="1:8" x14ac:dyDescent="0.25">
      <c r="C31" t="s">
        <v>296</v>
      </c>
      <c r="D31" t="s">
        <v>246</v>
      </c>
      <c r="E31" s="28">
        <v>45958</v>
      </c>
      <c r="F31">
        <v>149</v>
      </c>
      <c r="G31">
        <v>841</v>
      </c>
      <c r="H31" s="13">
        <v>841</v>
      </c>
    </row>
    <row r="32" spans="1:8" x14ac:dyDescent="0.25">
      <c r="C32"/>
      <c r="D32"/>
      <c r="E32" s="28">
        <v>45966</v>
      </c>
      <c r="F32">
        <v>151</v>
      </c>
      <c r="G32">
        <v>861</v>
      </c>
      <c r="H32" s="13">
        <v>861</v>
      </c>
    </row>
    <row r="33" spans="1:8" x14ac:dyDescent="0.25">
      <c r="C33" t="s">
        <v>297</v>
      </c>
      <c r="D33"/>
      <c r="E33"/>
      <c r="H33" s="13">
        <v>1702</v>
      </c>
    </row>
    <row r="34" spans="1:8" x14ac:dyDescent="0.25">
      <c r="A34" t="s">
        <v>166</v>
      </c>
      <c r="C34"/>
      <c r="D34"/>
      <c r="E34"/>
      <c r="H34" s="13">
        <v>5403</v>
      </c>
    </row>
    <row r="35" spans="1:8" x14ac:dyDescent="0.25">
      <c r="A35" t="s">
        <v>198</v>
      </c>
      <c r="B35" t="s">
        <v>19</v>
      </c>
      <c r="C35"/>
      <c r="D35" t="s">
        <v>19</v>
      </c>
      <c r="E35" t="s">
        <v>18</v>
      </c>
      <c r="F35">
        <v>0</v>
      </c>
      <c r="G35">
        <v>64080.83</v>
      </c>
      <c r="H35" s="13">
        <v>64080.83</v>
      </c>
    </row>
    <row r="36" spans="1:8" x14ac:dyDescent="0.25">
      <c r="C36" t="s">
        <v>163</v>
      </c>
      <c r="D36"/>
      <c r="E36"/>
      <c r="H36" s="13">
        <v>64080.83</v>
      </c>
    </row>
    <row r="37" spans="1:8" x14ac:dyDescent="0.25">
      <c r="A37" t="s">
        <v>228</v>
      </c>
      <c r="C37"/>
      <c r="D37"/>
      <c r="E37"/>
      <c r="H37" s="13">
        <v>64080.83</v>
      </c>
    </row>
    <row r="38" spans="1:8" x14ac:dyDescent="0.25">
      <c r="A38" t="s">
        <v>205</v>
      </c>
      <c r="B38" t="s">
        <v>211</v>
      </c>
      <c r="C38" t="s">
        <v>296</v>
      </c>
      <c r="D38" t="s">
        <v>75</v>
      </c>
      <c r="E38" s="28">
        <v>45966</v>
      </c>
      <c r="F38">
        <v>158</v>
      </c>
      <c r="G38">
        <v>1030</v>
      </c>
      <c r="H38" s="13">
        <v>1030</v>
      </c>
    </row>
    <row r="39" spans="1:8" x14ac:dyDescent="0.25">
      <c r="C39" t="s">
        <v>297</v>
      </c>
      <c r="D39"/>
      <c r="E39"/>
      <c r="H39" s="13">
        <v>1030</v>
      </c>
    </row>
    <row r="40" spans="1:8" x14ac:dyDescent="0.25">
      <c r="A40" t="s">
        <v>252</v>
      </c>
      <c r="C40"/>
      <c r="D40"/>
      <c r="E40"/>
      <c r="H40" s="13">
        <v>1030</v>
      </c>
    </row>
    <row r="41" spans="1:8" x14ac:dyDescent="0.25">
      <c r="A41" t="s">
        <v>194</v>
      </c>
      <c r="B41" t="s">
        <v>204</v>
      </c>
      <c r="C41" t="s">
        <v>296</v>
      </c>
      <c r="D41" t="s">
        <v>264</v>
      </c>
      <c r="E41" s="28">
        <v>45978</v>
      </c>
      <c r="F41">
        <v>175</v>
      </c>
      <c r="G41">
        <v>4320</v>
      </c>
      <c r="H41" s="13">
        <v>4320</v>
      </c>
    </row>
    <row r="42" spans="1:8" x14ac:dyDescent="0.25">
      <c r="C42"/>
      <c r="D42"/>
      <c r="E42" s="28">
        <v>46055</v>
      </c>
      <c r="F42">
        <v>225</v>
      </c>
      <c r="G42">
        <v>80</v>
      </c>
      <c r="H42" s="13">
        <v>80</v>
      </c>
    </row>
    <row r="43" spans="1:8" x14ac:dyDescent="0.25">
      <c r="C43" t="s">
        <v>297</v>
      </c>
      <c r="D43"/>
      <c r="E43"/>
      <c r="H43" s="13">
        <v>4400</v>
      </c>
    </row>
    <row r="44" spans="1:8" x14ac:dyDescent="0.25">
      <c r="A44" t="s">
        <v>265</v>
      </c>
      <c r="C44"/>
      <c r="D44"/>
      <c r="E44"/>
      <c r="H44" s="13">
        <v>4400</v>
      </c>
    </row>
    <row r="45" spans="1:8" x14ac:dyDescent="0.25">
      <c r="A45" t="s">
        <v>207</v>
      </c>
      <c r="B45" t="s">
        <v>213</v>
      </c>
      <c r="C45" t="s">
        <v>296</v>
      </c>
      <c r="D45" t="s">
        <v>75</v>
      </c>
      <c r="E45" s="28">
        <v>46055</v>
      </c>
      <c r="F45">
        <v>224</v>
      </c>
      <c r="G45">
        <v>825</v>
      </c>
      <c r="H45" s="13">
        <v>825</v>
      </c>
    </row>
    <row r="46" spans="1:8" x14ac:dyDescent="0.25">
      <c r="C46"/>
      <c r="D46" t="s">
        <v>282</v>
      </c>
      <c r="E46" s="28">
        <v>46007</v>
      </c>
      <c r="F46">
        <v>204</v>
      </c>
      <c r="G46">
        <v>1000</v>
      </c>
      <c r="H46" s="13">
        <v>1000</v>
      </c>
    </row>
    <row r="47" spans="1:8" x14ac:dyDescent="0.25">
      <c r="C47" t="s">
        <v>297</v>
      </c>
      <c r="D47"/>
      <c r="E47"/>
      <c r="H47" s="13">
        <v>1825</v>
      </c>
    </row>
    <row r="48" spans="1:8" x14ac:dyDescent="0.25">
      <c r="A48" t="s">
        <v>284</v>
      </c>
      <c r="C48"/>
      <c r="D48"/>
      <c r="E48"/>
      <c r="H48" s="13">
        <v>1825</v>
      </c>
    </row>
    <row r="49" spans="1:8" x14ac:dyDescent="0.25">
      <c r="A49" t="s">
        <v>210</v>
      </c>
      <c r="B49" t="s">
        <v>216</v>
      </c>
      <c r="C49" t="s">
        <v>229</v>
      </c>
      <c r="D49" t="s">
        <v>230</v>
      </c>
      <c r="E49" s="28">
        <v>45912</v>
      </c>
      <c r="F49">
        <v>121</v>
      </c>
      <c r="G49">
        <v>577.16999999999996</v>
      </c>
      <c r="H49" s="13">
        <v>577.16999999999996</v>
      </c>
    </row>
    <row r="50" spans="1:8" x14ac:dyDescent="0.25">
      <c r="C50" t="s">
        <v>232</v>
      </c>
      <c r="D50"/>
      <c r="E50"/>
      <c r="H50" s="13">
        <v>577.16999999999996</v>
      </c>
    </row>
    <row r="51" spans="1:8" x14ac:dyDescent="0.25">
      <c r="C51" t="s">
        <v>296</v>
      </c>
      <c r="D51" t="s">
        <v>75</v>
      </c>
      <c r="E51" s="28">
        <v>46035</v>
      </c>
      <c r="F51">
        <v>223</v>
      </c>
      <c r="G51">
        <v>555</v>
      </c>
      <c r="H51" s="13">
        <v>555</v>
      </c>
    </row>
    <row r="52" spans="1:8" x14ac:dyDescent="0.25">
      <c r="C52" t="s">
        <v>297</v>
      </c>
      <c r="D52"/>
      <c r="E52"/>
      <c r="H52" s="13">
        <v>555</v>
      </c>
    </row>
    <row r="53" spans="1:8" x14ac:dyDescent="0.25">
      <c r="A53" t="s">
        <v>294</v>
      </c>
      <c r="C53"/>
      <c r="D53"/>
      <c r="E53"/>
      <c r="H53" s="13">
        <v>1132.17</v>
      </c>
    </row>
    <row r="54" spans="1:8" x14ac:dyDescent="0.25">
      <c r="A54" t="s">
        <v>161</v>
      </c>
      <c r="C54"/>
      <c r="D54"/>
      <c r="E54"/>
      <c r="H54" s="13">
        <v>113014</v>
      </c>
    </row>
    <row r="55" spans="1:8" x14ac:dyDescent="0.25">
      <c r="C55"/>
      <c r="D55"/>
      <c r="E55"/>
    </row>
    <row r="56" spans="1:8" x14ac:dyDescent="0.25">
      <c r="C56"/>
      <c r="D56"/>
      <c r="E56"/>
    </row>
    <row r="57" spans="1:8" x14ac:dyDescent="0.25">
      <c r="C57"/>
      <c r="D57"/>
      <c r="E57"/>
    </row>
    <row r="58" spans="1:8" x14ac:dyDescent="0.25">
      <c r="C58"/>
      <c r="D58"/>
      <c r="E58"/>
    </row>
    <row r="59" spans="1:8" x14ac:dyDescent="0.25">
      <c r="C59"/>
      <c r="D59"/>
      <c r="E59"/>
    </row>
    <row r="60" spans="1:8" x14ac:dyDescent="0.25">
      <c r="C60"/>
      <c r="D60"/>
      <c r="E60"/>
    </row>
    <row r="61" spans="1:8" x14ac:dyDescent="0.25">
      <c r="C61"/>
      <c r="D61"/>
      <c r="E61"/>
    </row>
    <row r="62" spans="1:8" x14ac:dyDescent="0.25">
      <c r="C62"/>
      <c r="D62"/>
      <c r="E62"/>
    </row>
    <row r="63" spans="1:8" x14ac:dyDescent="0.25">
      <c r="C63"/>
      <c r="D63"/>
      <c r="E63"/>
    </row>
    <row r="64" spans="1:8" x14ac:dyDescent="0.25">
      <c r="C64"/>
      <c r="D64"/>
      <c r="E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</sheetData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0"/>
  <sheetViews>
    <sheetView workbookViewId="0">
      <selection activeCell="E10" sqref="E10"/>
    </sheetView>
  </sheetViews>
  <sheetFormatPr baseColWidth="10" defaultColWidth="8.7109375" defaultRowHeight="15" x14ac:dyDescent="0.25"/>
  <cols>
    <col min="1" max="1" width="10.5703125" customWidth="1"/>
    <col min="2" max="2" width="17.7109375" customWidth="1"/>
    <col min="3" max="3" width="15.5703125" customWidth="1"/>
    <col min="4" max="4" width="13.42578125" customWidth="1"/>
  </cols>
  <sheetData>
    <row r="1" spans="1:4" ht="76.5" customHeight="1" x14ac:dyDescent="0.25"/>
    <row r="2" spans="1:4" ht="62.1" customHeight="1" thickBot="1" x14ac:dyDescent="0.75">
      <c r="C2" s="22" t="s">
        <v>167</v>
      </c>
    </row>
    <row r="3" spans="1:4" ht="15.75" thickBot="1" x14ac:dyDescent="0.3">
      <c r="A3" s="14" t="s">
        <v>168</v>
      </c>
    </row>
    <row r="4" spans="1:4" x14ac:dyDescent="0.25">
      <c r="C4" s="16" t="s">
        <v>3</v>
      </c>
      <c r="D4" s="17">
        <f>VLOOKUP("Total general",DEBE!A5:H1000,8,FALSE)</f>
        <v>65985.680000000008</v>
      </c>
    </row>
    <row r="5" spans="1:4" x14ac:dyDescent="0.25">
      <c r="C5" s="18" t="s">
        <v>4</v>
      </c>
      <c r="D5" s="19">
        <f>VLOOKUP("Total general",HABER!A5:H1000,8,FALSE)</f>
        <v>113014</v>
      </c>
    </row>
    <row r="6" spans="1:4" x14ac:dyDescent="0.25">
      <c r="D6" s="15"/>
    </row>
    <row r="7" spans="1:4" x14ac:dyDescent="0.25">
      <c r="C7" s="20" t="s">
        <v>169</v>
      </c>
      <c r="D7" s="21">
        <f>D5-D4</f>
        <v>47028.319999999992</v>
      </c>
    </row>
    <row r="10" spans="1:4" x14ac:dyDescent="0.25">
      <c r="C10" s="12"/>
    </row>
  </sheetData>
  <conditionalFormatting sqref="D7">
    <cfRule type="cellIs" dxfId="13" priority="2" operator="lessThan">
      <formula>0</formula>
    </cfRule>
  </conditionalFormatting>
  <conditionalFormatting sqref="D12">
    <cfRule type="cellIs" dxfId="12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1"/>
  <sheetViews>
    <sheetView topLeftCell="A33" workbookViewId="0">
      <selection activeCell="B29" sqref="B29"/>
    </sheetView>
  </sheetViews>
  <sheetFormatPr baseColWidth="10" defaultColWidth="8.7109375" defaultRowHeight="15" x14ac:dyDescent="0.25"/>
  <cols>
    <col min="1" max="1" width="8.7109375" style="11"/>
    <col min="2" max="2" width="33.140625" customWidth="1"/>
  </cols>
  <sheetData>
    <row r="1" spans="1:3" x14ac:dyDescent="0.25">
      <c r="A1" s="11" t="s">
        <v>170</v>
      </c>
      <c r="B1" t="s">
        <v>171</v>
      </c>
    </row>
    <row r="2" spans="1:3" x14ac:dyDescent="0.25">
      <c r="A2" s="11" t="s">
        <v>25</v>
      </c>
      <c r="B2" s="11" t="s">
        <v>149</v>
      </c>
      <c r="C2" s="11"/>
    </row>
    <row r="3" spans="1:3" x14ac:dyDescent="0.25">
      <c r="A3" s="11" t="s">
        <v>29</v>
      </c>
      <c r="B3" s="11" t="s">
        <v>152</v>
      </c>
      <c r="C3" s="11"/>
    </row>
    <row r="4" spans="1:3" x14ac:dyDescent="0.25">
      <c r="A4" s="11" t="s">
        <v>45</v>
      </c>
      <c r="B4" s="11" t="s">
        <v>154</v>
      </c>
      <c r="C4" s="11"/>
    </row>
    <row r="5" spans="1:3" x14ac:dyDescent="0.25">
      <c r="A5" s="11" t="s">
        <v>103</v>
      </c>
      <c r="B5" s="11" t="s">
        <v>155</v>
      </c>
      <c r="C5" s="11"/>
    </row>
    <row r="6" spans="1:3" x14ac:dyDescent="0.25">
      <c r="A6" s="11" t="s">
        <v>68</v>
      </c>
      <c r="B6" s="11" t="s">
        <v>156</v>
      </c>
      <c r="C6" s="11"/>
    </row>
    <row r="7" spans="1:3" x14ac:dyDescent="0.25">
      <c r="A7" s="11" t="s">
        <v>172</v>
      </c>
      <c r="B7" s="11" t="s">
        <v>173</v>
      </c>
      <c r="C7" s="11"/>
    </row>
    <row r="8" spans="1:3" x14ac:dyDescent="0.25">
      <c r="A8" s="11" t="s">
        <v>174</v>
      </c>
      <c r="B8" s="11" t="s">
        <v>175</v>
      </c>
      <c r="C8" s="11"/>
    </row>
    <row r="9" spans="1:3" x14ac:dyDescent="0.25">
      <c r="A9" s="11" t="s">
        <v>176</v>
      </c>
      <c r="B9" s="11" t="s">
        <v>177</v>
      </c>
      <c r="C9" s="11"/>
    </row>
    <row r="10" spans="1:3" x14ac:dyDescent="0.25">
      <c r="A10" s="11" t="s">
        <v>178</v>
      </c>
      <c r="B10" s="11" t="s">
        <v>179</v>
      </c>
      <c r="C10" s="11"/>
    </row>
    <row r="11" spans="1:3" x14ac:dyDescent="0.25">
      <c r="A11" s="11" t="s">
        <v>43</v>
      </c>
      <c r="B11" s="11" t="s">
        <v>157</v>
      </c>
      <c r="C11" s="11"/>
    </row>
    <row r="12" spans="1:3" x14ac:dyDescent="0.25">
      <c r="A12" s="11" t="s">
        <v>180</v>
      </c>
      <c r="B12" s="11" t="s">
        <v>181</v>
      </c>
      <c r="C12" s="11"/>
    </row>
    <row r="13" spans="1:3" x14ac:dyDescent="0.25">
      <c r="A13" s="11" t="s">
        <v>182</v>
      </c>
      <c r="B13" s="11" t="s">
        <v>183</v>
      </c>
      <c r="C13" s="11"/>
    </row>
    <row r="14" spans="1:3" x14ac:dyDescent="0.25">
      <c r="A14" s="11" t="s">
        <v>184</v>
      </c>
      <c r="B14" s="11" t="s">
        <v>227</v>
      </c>
      <c r="C14" s="11"/>
    </row>
    <row r="15" spans="1:3" x14ac:dyDescent="0.25">
      <c r="A15" s="11" t="s">
        <v>31</v>
      </c>
      <c r="B15" s="11" t="s">
        <v>158</v>
      </c>
      <c r="C15" s="11"/>
    </row>
    <row r="16" spans="1:3" x14ac:dyDescent="0.25">
      <c r="A16" s="11" t="s">
        <v>185</v>
      </c>
      <c r="B16" s="11" t="s">
        <v>186</v>
      </c>
      <c r="C16" s="11"/>
    </row>
    <row r="17" spans="1:3" x14ac:dyDescent="0.25">
      <c r="A17" s="11" t="s">
        <v>54</v>
      </c>
      <c r="B17" s="11" t="s">
        <v>159</v>
      </c>
      <c r="C17" s="11"/>
    </row>
    <row r="18" spans="1:3" x14ac:dyDescent="0.25">
      <c r="A18" s="11" t="s">
        <v>35</v>
      </c>
      <c r="B18" s="11" t="s">
        <v>160</v>
      </c>
      <c r="C18" s="11"/>
    </row>
    <row r="19" spans="1:3" x14ac:dyDescent="0.25">
      <c r="A19" s="11" t="s">
        <v>187</v>
      </c>
      <c r="B19" s="11" t="s">
        <v>188</v>
      </c>
      <c r="C19" s="11"/>
    </row>
    <row r="20" spans="1:3" x14ac:dyDescent="0.25">
      <c r="A20" s="11" t="s">
        <v>189</v>
      </c>
      <c r="B20" s="11" t="s">
        <v>190</v>
      </c>
      <c r="C20" s="11"/>
    </row>
    <row r="21" spans="1:3" x14ac:dyDescent="0.25">
      <c r="A21" s="11" t="s">
        <v>191</v>
      </c>
      <c r="B21" s="11" t="s">
        <v>192</v>
      </c>
      <c r="C21" s="11"/>
    </row>
    <row r="22" spans="1:3" x14ac:dyDescent="0.25">
      <c r="A22" s="11" t="s">
        <v>193</v>
      </c>
      <c r="B22" s="11" t="s">
        <v>202</v>
      </c>
      <c r="C22" s="11"/>
    </row>
    <row r="23" spans="1:3" x14ac:dyDescent="0.25">
      <c r="A23" s="11" t="s">
        <v>76</v>
      </c>
      <c r="B23" s="11" t="s">
        <v>203</v>
      </c>
      <c r="C23" s="11"/>
    </row>
    <row r="24" spans="1:3" x14ac:dyDescent="0.25">
      <c r="A24" s="11" t="s">
        <v>194</v>
      </c>
      <c r="B24" s="11" t="s">
        <v>204</v>
      </c>
      <c r="C24" s="11"/>
    </row>
    <row r="25" spans="1:3" x14ac:dyDescent="0.25">
      <c r="A25" s="11" t="s">
        <v>205</v>
      </c>
      <c r="B25" s="11" t="s">
        <v>211</v>
      </c>
      <c r="C25" s="11"/>
    </row>
    <row r="26" spans="1:3" x14ac:dyDescent="0.25">
      <c r="A26" s="11" t="s">
        <v>206</v>
      </c>
      <c r="B26" s="11" t="s">
        <v>212</v>
      </c>
      <c r="C26" s="11"/>
    </row>
    <row r="27" spans="1:3" x14ac:dyDescent="0.25">
      <c r="A27" s="11" t="s">
        <v>207</v>
      </c>
      <c r="B27" s="11" t="s">
        <v>213</v>
      </c>
      <c r="C27" s="11"/>
    </row>
    <row r="28" spans="1:3" x14ac:dyDescent="0.25">
      <c r="A28" s="11" t="s">
        <v>208</v>
      </c>
      <c r="B28" s="11" t="s">
        <v>214</v>
      </c>
      <c r="C28" s="11"/>
    </row>
    <row r="29" spans="1:3" x14ac:dyDescent="0.25">
      <c r="A29" s="11" t="s">
        <v>209</v>
      </c>
      <c r="B29" s="11" t="s">
        <v>215</v>
      </c>
      <c r="C29" s="11"/>
    </row>
    <row r="30" spans="1:3" x14ac:dyDescent="0.25">
      <c r="A30" s="11" t="s">
        <v>210</v>
      </c>
      <c r="B30" s="11" t="s">
        <v>216</v>
      </c>
      <c r="C30" s="11"/>
    </row>
    <row r="31" spans="1:3" x14ac:dyDescent="0.25">
      <c r="A31" s="11" t="s">
        <v>79</v>
      </c>
      <c r="B31" s="11" t="s">
        <v>217</v>
      </c>
      <c r="C31" s="11"/>
    </row>
    <row r="32" spans="1:3" x14ac:dyDescent="0.25">
      <c r="A32" s="11" t="s">
        <v>60</v>
      </c>
      <c r="B32" s="11" t="s">
        <v>218</v>
      </c>
      <c r="C32" s="11"/>
    </row>
    <row r="33" spans="1:3" x14ac:dyDescent="0.25">
      <c r="A33" s="11" t="s">
        <v>195</v>
      </c>
      <c r="B33" s="11" t="s">
        <v>219</v>
      </c>
      <c r="C33" s="11"/>
    </row>
    <row r="34" spans="1:3" x14ac:dyDescent="0.25">
      <c r="A34" s="11" t="s">
        <v>196</v>
      </c>
      <c r="B34" s="11" t="s">
        <v>220</v>
      </c>
      <c r="C34" s="11"/>
    </row>
    <row r="35" spans="1:3" x14ac:dyDescent="0.25">
      <c r="A35" s="11" t="s">
        <v>197</v>
      </c>
      <c r="B35" s="11" t="s">
        <v>221</v>
      </c>
      <c r="C35" s="11"/>
    </row>
    <row r="36" spans="1:3" x14ac:dyDescent="0.25">
      <c r="A36" s="11" t="s">
        <v>24</v>
      </c>
      <c r="B36" s="11" t="s">
        <v>222</v>
      </c>
      <c r="C36" s="11"/>
    </row>
    <row r="37" spans="1:3" x14ac:dyDescent="0.25">
      <c r="A37" s="11" t="s">
        <v>198</v>
      </c>
      <c r="B37" s="11" t="s">
        <v>19</v>
      </c>
      <c r="C37" s="11"/>
    </row>
    <row r="38" spans="1:3" x14ac:dyDescent="0.25">
      <c r="A38" s="11" t="s">
        <v>20</v>
      </c>
      <c r="B38" s="11" t="s">
        <v>223</v>
      </c>
      <c r="C38" s="11"/>
    </row>
    <row r="39" spans="1:3" x14ac:dyDescent="0.25">
      <c r="A39" s="11" t="s">
        <v>199</v>
      </c>
      <c r="B39" s="11" t="s">
        <v>224</v>
      </c>
      <c r="C39" s="11"/>
    </row>
    <row r="40" spans="1:3" x14ac:dyDescent="0.25">
      <c r="A40" s="11" t="s">
        <v>200</v>
      </c>
      <c r="B40" s="11" t="s">
        <v>225</v>
      </c>
      <c r="C40" s="11"/>
    </row>
    <row r="41" spans="1:3" x14ac:dyDescent="0.25">
      <c r="A41" s="11" t="s">
        <v>201</v>
      </c>
      <c r="B41" s="11" t="s">
        <v>226</v>
      </c>
      <c r="C41" s="11"/>
    </row>
    <row r="42" spans="1:3" x14ac:dyDescent="0.25">
      <c r="B42" s="11"/>
      <c r="C42" s="11"/>
    </row>
    <row r="43" spans="1:3" x14ac:dyDescent="0.25">
      <c r="B43" s="11"/>
      <c r="C43" s="11"/>
    </row>
    <row r="44" spans="1:3" x14ac:dyDescent="0.25">
      <c r="B44" s="11"/>
      <c r="C44" s="11"/>
    </row>
    <row r="45" spans="1:3" x14ac:dyDescent="0.25">
      <c r="B45" s="11"/>
      <c r="C45" s="11"/>
    </row>
    <row r="46" spans="1:3" x14ac:dyDescent="0.25">
      <c r="B46" s="11"/>
      <c r="C46" s="11"/>
    </row>
    <row r="47" spans="1:3" x14ac:dyDescent="0.25">
      <c r="B47" s="11"/>
      <c r="C47" s="11"/>
    </row>
    <row r="48" spans="1:3" x14ac:dyDescent="0.25">
      <c r="B48" s="11"/>
      <c r="C48" s="11"/>
    </row>
    <row r="49" spans="2:3" x14ac:dyDescent="0.25">
      <c r="B49" s="11"/>
      <c r="C49" s="11"/>
    </row>
    <row r="50" spans="2:3" x14ac:dyDescent="0.25">
      <c r="B50" s="11"/>
      <c r="C50" s="11"/>
    </row>
    <row r="51" spans="2:3" x14ac:dyDescent="0.25">
      <c r="B51" s="11"/>
      <c r="C51" s="11"/>
    </row>
    <row r="52" spans="2:3" x14ac:dyDescent="0.25">
      <c r="B52" s="11"/>
      <c r="C52" s="11"/>
    </row>
    <row r="53" spans="2:3" x14ac:dyDescent="0.25">
      <c r="B53" s="11"/>
      <c r="C53" s="11"/>
    </row>
    <row r="54" spans="2:3" x14ac:dyDescent="0.25">
      <c r="B54" s="11"/>
      <c r="C54" s="11"/>
    </row>
    <row r="55" spans="2:3" x14ac:dyDescent="0.25">
      <c r="B55" s="11"/>
      <c r="C55" s="11"/>
    </row>
    <row r="56" spans="2:3" x14ac:dyDescent="0.25">
      <c r="B56" s="11"/>
      <c r="C56" s="11"/>
    </row>
    <row r="57" spans="2:3" x14ac:dyDescent="0.25">
      <c r="B57" s="11"/>
      <c r="C57" s="11"/>
    </row>
    <row r="58" spans="2:3" x14ac:dyDescent="0.25">
      <c r="B58" s="11"/>
      <c r="C58" s="11"/>
    </row>
    <row r="59" spans="2:3" x14ac:dyDescent="0.25">
      <c r="B59" s="11"/>
      <c r="C59" s="11"/>
    </row>
    <row r="60" spans="2:3" x14ac:dyDescent="0.25">
      <c r="B60" s="11"/>
      <c r="C60" s="11"/>
    </row>
    <row r="61" spans="2:3" x14ac:dyDescent="0.25">
      <c r="B61" s="11"/>
      <c r="C61" s="11"/>
    </row>
    <row r="62" spans="2:3" x14ac:dyDescent="0.25">
      <c r="B62" s="11"/>
      <c r="C62" s="11"/>
    </row>
    <row r="63" spans="2:3" x14ac:dyDescent="0.25">
      <c r="B63" s="11"/>
      <c r="C63" s="11"/>
    </row>
    <row r="64" spans="2:3" x14ac:dyDescent="0.25">
      <c r="B64" s="11"/>
      <c r="C64" s="11"/>
    </row>
    <row r="65" spans="2:3" x14ac:dyDescent="0.25">
      <c r="B65" s="11"/>
      <c r="C65" s="11"/>
    </row>
    <row r="66" spans="2:3" x14ac:dyDescent="0.25">
      <c r="B66" s="11"/>
      <c r="C66" s="11"/>
    </row>
    <row r="67" spans="2:3" x14ac:dyDescent="0.25">
      <c r="B67" s="11"/>
      <c r="C67" s="11"/>
    </row>
    <row r="68" spans="2:3" x14ac:dyDescent="0.25">
      <c r="B68" s="11"/>
      <c r="C68" s="11"/>
    </row>
    <row r="69" spans="2:3" x14ac:dyDescent="0.25">
      <c r="B69" s="11"/>
      <c r="C69" s="11"/>
    </row>
    <row r="70" spans="2:3" x14ac:dyDescent="0.25">
      <c r="B70" s="11"/>
      <c r="C70" s="11"/>
    </row>
    <row r="71" spans="2:3" x14ac:dyDescent="0.25">
      <c r="B71" s="11"/>
      <c r="C71" s="11"/>
    </row>
    <row r="72" spans="2:3" x14ac:dyDescent="0.25">
      <c r="B72" s="11"/>
      <c r="C72" s="11"/>
    </row>
    <row r="73" spans="2:3" x14ac:dyDescent="0.25">
      <c r="B73" s="11"/>
      <c r="C73" s="11"/>
    </row>
    <row r="74" spans="2:3" x14ac:dyDescent="0.25">
      <c r="B74" s="11"/>
      <c r="C74" s="11"/>
    </row>
    <row r="75" spans="2:3" x14ac:dyDescent="0.25">
      <c r="B75" s="11"/>
      <c r="C75" s="11"/>
    </row>
    <row r="76" spans="2:3" x14ac:dyDescent="0.25">
      <c r="B76" s="11"/>
      <c r="C76" s="11"/>
    </row>
    <row r="77" spans="2:3" x14ac:dyDescent="0.25">
      <c r="B77" s="11"/>
      <c r="C77" s="11"/>
    </row>
    <row r="78" spans="2:3" x14ac:dyDescent="0.25">
      <c r="B78" s="11"/>
      <c r="C78" s="11"/>
    </row>
    <row r="79" spans="2:3" x14ac:dyDescent="0.25">
      <c r="B79" s="11"/>
      <c r="C79" s="11"/>
    </row>
    <row r="80" spans="2:3" x14ac:dyDescent="0.25">
      <c r="B80" s="11"/>
      <c r="C80" s="11"/>
    </row>
    <row r="81" spans="2:3" x14ac:dyDescent="0.25">
      <c r="B81" s="11"/>
      <c r="C81" s="11"/>
    </row>
    <row r="82" spans="2:3" x14ac:dyDescent="0.25">
      <c r="B82" s="11"/>
      <c r="C82" s="11"/>
    </row>
    <row r="83" spans="2:3" x14ac:dyDescent="0.25">
      <c r="B83" s="11"/>
      <c r="C83" s="11"/>
    </row>
    <row r="84" spans="2:3" x14ac:dyDescent="0.25">
      <c r="B84" s="11"/>
      <c r="C84" s="11"/>
    </row>
    <row r="85" spans="2:3" x14ac:dyDescent="0.25">
      <c r="B85" s="11"/>
      <c r="C85" s="11"/>
    </row>
    <row r="86" spans="2:3" x14ac:dyDescent="0.25">
      <c r="B86" s="11"/>
      <c r="C86" s="11"/>
    </row>
    <row r="87" spans="2:3" x14ac:dyDescent="0.25">
      <c r="B87" s="11"/>
      <c r="C87" s="11"/>
    </row>
    <row r="88" spans="2:3" x14ac:dyDescent="0.25">
      <c r="B88" s="11"/>
      <c r="C88" s="11"/>
    </row>
    <row r="89" spans="2:3" x14ac:dyDescent="0.25">
      <c r="B89" s="11"/>
      <c r="C89" s="11"/>
    </row>
    <row r="90" spans="2:3" x14ac:dyDescent="0.25">
      <c r="B90" s="11"/>
      <c r="C90" s="11"/>
    </row>
    <row r="91" spans="2:3" x14ac:dyDescent="0.25">
      <c r="B91" s="11"/>
      <c r="C91" s="11"/>
    </row>
  </sheetData>
  <pageMargins left="0.7" right="0.7" top="0.75" bottom="0.75" header="0.3" footer="0.3"/>
  <pageSetup paperSize="9" orientation="portrait" r:id="rId1"/>
  <ignoredErrors>
    <ignoredError sqref="A2:A5 A12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FUNCIONAMENTO</vt:lpstr>
      <vt:lpstr>DEBE</vt:lpstr>
      <vt:lpstr>HABER</vt:lpstr>
      <vt:lpstr>BALANCE</vt:lpstr>
      <vt:lpstr>Codigo</vt:lpstr>
      <vt:lpstr>DEBE!Títulos_a_imprimir</vt:lpstr>
      <vt:lpstr>HABER!Títulos_a_imprimir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</cp:lastModifiedBy>
  <cp:revision/>
  <cp:lastPrinted>2026-02-04T15:44:44Z</cp:lastPrinted>
  <dcterms:created xsi:type="dcterms:W3CDTF">2025-06-07T20:01:36Z</dcterms:created>
  <dcterms:modified xsi:type="dcterms:W3CDTF">2026-02-25T10:44:03Z</dcterms:modified>
  <cp:category/>
  <cp:contentStatus/>
</cp:coreProperties>
</file>