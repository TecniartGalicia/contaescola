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excel secretaría Raquel\partidas\"/>
    </mc:Choice>
  </mc:AlternateContent>
  <xr:revisionPtr revIDLastSave="0" documentId="13_ncr:1_{CDEA7F3E-8884-49FC-B437-83F99A2EEB44}" xr6:coauthVersionLast="47" xr6:coauthVersionMax="47" xr10:uidLastSave="{00000000-0000-0000-0000-000000000000}"/>
  <bookViews>
    <workbookView xWindow="-120" yWindow="-120" windowWidth="38640" windowHeight="15840" activeTab="2" xr2:uid="{00000000-000D-0000-FFFF-FFFF00000000}"/>
  </bookViews>
  <sheets>
    <sheet name="FUNCIONAMENTO" sheetId="1" r:id="rId1"/>
    <sheet name="PARTIDA FINALISTA" sheetId="9" r:id="rId2"/>
    <sheet name="BECAS NEAE" sheetId="10" r:id="rId3"/>
    <sheet name="Codigo_NO BORRAR" sheetId="6" r:id="rId4"/>
  </sheets>
  <definedNames>
    <definedName name="_xlnm._FilterDatabase" localSheetId="0" hidden="1">FUNCIONAMENTO!$A$1:$R$33</definedName>
    <definedName name="_xlnm._FilterDatabase" localSheetId="1" hidden="1">'PARTIDA FINALISTA'!$I$6:$L$15</definedName>
  </definedNames>
  <calcPr calcId="191029"/>
  <pivotCaches>
    <pivotCache cacheId="8" r:id="rId5"/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9" l="1"/>
  <c r="K15" i="9"/>
  <c r="K14" i="9"/>
  <c r="J14" i="9"/>
  <c r="K13" i="9"/>
  <c r="J13" i="9"/>
  <c r="K11" i="9"/>
  <c r="J11" i="9"/>
  <c r="K12" i="9"/>
  <c r="J12" i="9"/>
  <c r="L14" i="9" l="1"/>
  <c r="L15" i="9"/>
  <c r="L12" i="9"/>
  <c r="L13" i="9"/>
  <c r="N10" i="10"/>
  <c r="N8" i="10"/>
  <c r="M8" i="10"/>
  <c r="M6" i="10"/>
  <c r="M10" i="10"/>
  <c r="K9" i="9"/>
  <c r="J9" i="9"/>
  <c r="K8" i="9"/>
  <c r="J8" i="9"/>
  <c r="N9" i="10"/>
  <c r="M9" i="10"/>
  <c r="N7" i="10"/>
  <c r="M7" i="10"/>
  <c r="N6" i="10"/>
  <c r="K10" i="9"/>
  <c r="J10" i="9"/>
  <c r="K7" i="9"/>
  <c r="J7" i="9"/>
  <c r="L11" i="9" l="1"/>
  <c r="O8" i="10"/>
  <c r="L10" i="9"/>
  <c r="O7" i="10"/>
  <c r="O6" i="10"/>
  <c r="O9" i="10"/>
  <c r="O10" i="10"/>
  <c r="L8" i="9"/>
  <c r="L7" i="9"/>
  <c r="L9" i="9"/>
</calcChain>
</file>

<file path=xl/sharedStrings.xml><?xml version="1.0" encoding="utf-8"?>
<sst xmlns="http://schemas.openxmlformats.org/spreadsheetml/2006/main" count="454" uniqueCount="165">
  <si>
    <t>NUMERO</t>
  </si>
  <si>
    <t>DATA</t>
  </si>
  <si>
    <t>CONCEPTO</t>
  </si>
  <si>
    <t>DEBE</t>
  </si>
  <si>
    <t>HABER</t>
  </si>
  <si>
    <t>I_G</t>
  </si>
  <si>
    <t>CODIGO</t>
  </si>
  <si>
    <t>Cod Decrip</t>
  </si>
  <si>
    <t>PERIODO</t>
  </si>
  <si>
    <t>LIBRE</t>
  </si>
  <si>
    <t>XUSTIFICA</t>
  </si>
  <si>
    <t>NOME</t>
  </si>
  <si>
    <t>EUROS</t>
  </si>
  <si>
    <t>DIA</t>
  </si>
  <si>
    <t>MES</t>
  </si>
  <si>
    <t>ANO</t>
  </si>
  <si>
    <t>CHEQUE</t>
  </si>
  <si>
    <t>IMPRIMIR</t>
  </si>
  <si>
    <t>I</t>
  </si>
  <si>
    <t>CENTROS PIE</t>
  </si>
  <si>
    <t>X.T.PROGRAMA CERTIFICACION COMPETENCIA LINGÜÍSTICA</t>
  </si>
  <si>
    <t>PROGRAMA COMPETENCIA LINGUÍSTICA</t>
  </si>
  <si>
    <t>LINGUAS EXTRANXEIRAS</t>
  </si>
  <si>
    <t>X.T. DESENVOLVEMENTO PROG EDUCACION DIXITAL</t>
  </si>
  <si>
    <t>DESENVOLVEMENTO PROGRAMA EDUCACIÓN DIXITAL</t>
  </si>
  <si>
    <t>X.T.PLAMBE MOBILIARIO</t>
  </si>
  <si>
    <t>PLAMBE-MOBILIARIO</t>
  </si>
  <si>
    <t>X.T. XESTION ATENCION BIBLIOTECA ESCOLAR</t>
  </si>
  <si>
    <t>XESTION ATENCION BIBLIOTECA</t>
  </si>
  <si>
    <t>X.T. FOMENTO USO DO GALEGO</t>
  </si>
  <si>
    <t>FOMENTO DO USO DO GALEGO</t>
  </si>
  <si>
    <t>G</t>
  </si>
  <si>
    <t>11</t>
  </si>
  <si>
    <t>Gastos diversos</t>
  </si>
  <si>
    <t>BECAS S G TESORO</t>
  </si>
  <si>
    <t>B</t>
  </si>
  <si>
    <t>Dotacións UE-Outros  organismos</t>
  </si>
  <si>
    <t>BECAS NEAE</t>
  </si>
  <si>
    <t>ROI</t>
  </si>
  <si>
    <t>CANDELA</t>
  </si>
  <si>
    <t>SAMARA</t>
  </si>
  <si>
    <t>A3</t>
  </si>
  <si>
    <t>Dotación Biblioteca</t>
  </si>
  <si>
    <t>PLAMBE-FONDOS</t>
  </si>
  <si>
    <t>CHRISTOPHER</t>
  </si>
  <si>
    <t>04</t>
  </si>
  <si>
    <t>Suministracións</t>
  </si>
  <si>
    <t>X.T. PROGRAMA CERTIFICACIÓN COMPETENCIA LINGÜÍSTICA</t>
  </si>
  <si>
    <t>NEUROSINAIS</t>
  </si>
  <si>
    <t>POLOS CREATIVOS</t>
  </si>
  <si>
    <t>Suma de DEBE</t>
  </si>
  <si>
    <t>Suma de HABER</t>
  </si>
  <si>
    <t>TOTAL</t>
  </si>
  <si>
    <t>PENDIENTE</t>
  </si>
  <si>
    <t>PIE</t>
  </si>
  <si>
    <t>Total BECAS NEAE</t>
  </si>
  <si>
    <t>EDUCACION DIXITAL</t>
  </si>
  <si>
    <t>Total PLAMBE-FONDOS</t>
  </si>
  <si>
    <t>(en blanco)</t>
  </si>
  <si>
    <t>Total (en blanco)</t>
  </si>
  <si>
    <t>Total CENTROS PIE</t>
  </si>
  <si>
    <t>Total DESENVOLVEMENTO PROGRAMA EDUCACIÓN DIXITAL</t>
  </si>
  <si>
    <t>Total LINGUAS EXTRANXEIRAS</t>
  </si>
  <si>
    <t>Total FOMENTO DO USO DO GALEGO</t>
  </si>
  <si>
    <t>Total PLAMBE-MOBILIARIO</t>
  </si>
  <si>
    <t>Total XESTION ATENCION BIBLIOTECA</t>
  </si>
  <si>
    <t>Total X.T. PROGRAMA CERTIFICACIÓN COMPETENCIA LINGÜÍSTICA</t>
  </si>
  <si>
    <t>Total general</t>
  </si>
  <si>
    <t>Total CANDELA</t>
  </si>
  <si>
    <t>Total CHRISTOPHER</t>
  </si>
  <si>
    <t>MATHIAS</t>
  </si>
  <si>
    <t>Total ROI</t>
  </si>
  <si>
    <t>Total SAMARA</t>
  </si>
  <si>
    <t>CÓDIGO</t>
  </si>
  <si>
    <t>DESCRIPCION</t>
  </si>
  <si>
    <t>01</t>
  </si>
  <si>
    <t>Arredamientos</t>
  </si>
  <si>
    <t>02</t>
  </si>
  <si>
    <t>Reparacións</t>
  </si>
  <si>
    <t>03</t>
  </si>
  <si>
    <t>Material de oficina</t>
  </si>
  <si>
    <t>04.1</t>
  </si>
  <si>
    <t>Gasoleo</t>
  </si>
  <si>
    <t>04.2</t>
  </si>
  <si>
    <t>Gas</t>
  </si>
  <si>
    <t>PFPP</t>
  </si>
  <si>
    <t>04.3</t>
  </si>
  <si>
    <t>Biomasa/Pellets</t>
  </si>
  <si>
    <t>04.4</t>
  </si>
  <si>
    <t>Electricidade</t>
  </si>
  <si>
    <t>04.5</t>
  </si>
  <si>
    <t>Auga</t>
  </si>
  <si>
    <t>04.6</t>
  </si>
  <si>
    <t>Outras Subministracións</t>
  </si>
  <si>
    <t>05</t>
  </si>
  <si>
    <t>Comunicacións</t>
  </si>
  <si>
    <t>06</t>
  </si>
  <si>
    <t>Transporte</t>
  </si>
  <si>
    <t>07</t>
  </si>
  <si>
    <t>Traballos......</t>
  </si>
  <si>
    <t>08</t>
  </si>
  <si>
    <t>Prima de seguro</t>
  </si>
  <si>
    <t>09</t>
  </si>
  <si>
    <t>Tributos</t>
  </si>
  <si>
    <t>10</t>
  </si>
  <si>
    <t>Axudas de custo e locomoción</t>
  </si>
  <si>
    <t>12</t>
  </si>
  <si>
    <t>Mobiliario e utensilios inventariables</t>
  </si>
  <si>
    <t>13</t>
  </si>
  <si>
    <t>Outros o materiais inventariables</t>
  </si>
  <si>
    <t>14</t>
  </si>
  <si>
    <t>Comedores escolares</t>
  </si>
  <si>
    <t>A</t>
  </si>
  <si>
    <t>A1</t>
  </si>
  <si>
    <t>A2</t>
  </si>
  <si>
    <t>C</t>
  </si>
  <si>
    <t>D</t>
  </si>
  <si>
    <t>E</t>
  </si>
  <si>
    <t>F</t>
  </si>
  <si>
    <t>H</t>
  </si>
  <si>
    <t>J</t>
  </si>
  <si>
    <t>K</t>
  </si>
  <si>
    <t>Xuros</t>
  </si>
  <si>
    <t>L</t>
  </si>
  <si>
    <t>ANAYA</t>
  </si>
  <si>
    <t>Total dotación Consellería</t>
  </si>
  <si>
    <t>Gastos de funcionamento</t>
  </si>
  <si>
    <t>Fondo solidario libros</t>
  </si>
  <si>
    <t>A4</t>
  </si>
  <si>
    <t>Fondos plan mellora</t>
  </si>
  <si>
    <t>A5</t>
  </si>
  <si>
    <t>Fondos innovación</t>
  </si>
  <si>
    <t>A6</t>
  </si>
  <si>
    <t>Dotación comedores escolares</t>
  </si>
  <si>
    <t>A7</t>
  </si>
  <si>
    <t>Fondos P Lingüística</t>
  </si>
  <si>
    <t>A8</t>
  </si>
  <si>
    <t>Otros</t>
  </si>
  <si>
    <t>Dotacións legados e subvencións</t>
  </si>
  <si>
    <t>Ingreso convenios</t>
  </si>
  <si>
    <t>Alleamento de bens</t>
  </si>
  <si>
    <t>Ingresos vendas</t>
  </si>
  <si>
    <t>Ingresos uso instalacións</t>
  </si>
  <si>
    <t>SALDO ANTERIOR</t>
  </si>
  <si>
    <t>Venda fotocopias</t>
  </si>
  <si>
    <t>Achegas comedor particulares</t>
  </si>
  <si>
    <t>Outros ingresos</t>
  </si>
  <si>
    <t>COMPETENCIA LIGÜISTICA</t>
  </si>
  <si>
    <t>ANA RODRIGUEZ</t>
  </si>
  <si>
    <t>Total MATHIAS</t>
  </si>
  <si>
    <t>1º TRIMESTRE</t>
  </si>
  <si>
    <t>O</t>
  </si>
  <si>
    <t>X.T. PLAMBE FONDOS</t>
  </si>
  <si>
    <t>X.T- CENTROS PIE 2025</t>
  </si>
  <si>
    <t>X.T. APRENDIZAXE LINGUAS EXTRAXEIRAS 2026</t>
  </si>
  <si>
    <t>ANA RODRIGUEZ (xustificado 2025)</t>
  </si>
  <si>
    <t>ANA RODRÍGUEZ (xustificado 2025)</t>
  </si>
  <si>
    <t>4º TRIMESTRE</t>
  </si>
  <si>
    <t>BOLANDA</t>
  </si>
  <si>
    <t>PROGRAMA ÉXITO ESCOLAR-IMPULSO DAS MATEMÁTICAS</t>
  </si>
  <si>
    <t>Total PROGRAMA ÉXITO ESCOLAR-IMPULSO DAS MATEMÁTICAS</t>
  </si>
  <si>
    <t>TECNIART</t>
  </si>
  <si>
    <t xml:space="preserve">ANA RODRÍGUEZ </t>
  </si>
  <si>
    <t>LAURA MENDEZ</t>
  </si>
  <si>
    <t>CRISTINA VIDAL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</si>
</sst>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rgb="FF242424"/>
      <name val="Consolas"/>
      <charset val="1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1" fillId="0" borderId="1" xfId="1" applyFont="1" applyBorder="1" applyAlignment="1">
      <alignment wrapText="1"/>
    </xf>
    <xf numFmtId="49" fontId="0" fillId="0" borderId="0" xfId="0" applyNumberFormat="1"/>
    <xf numFmtId="0" fontId="4" fillId="0" borderId="1" xfId="1" applyFont="1" applyBorder="1" applyAlignment="1">
      <alignment wrapText="1"/>
    </xf>
    <xf numFmtId="0" fontId="0" fillId="0" borderId="2" xfId="0" applyBorder="1"/>
    <xf numFmtId="164" fontId="0" fillId="0" borderId="2" xfId="0" applyNumberFormat="1" applyBorder="1"/>
    <xf numFmtId="0" fontId="5" fillId="3" borderId="2" xfId="0" applyFont="1" applyFill="1" applyBorder="1" applyAlignment="1">
      <alignment horizontal="center"/>
    </xf>
    <xf numFmtId="0" fontId="0" fillId="4" borderId="2" xfId="0" applyFill="1" applyBorder="1"/>
    <xf numFmtId="164" fontId="0" fillId="4" borderId="2" xfId="0" applyNumberFormat="1" applyFill="1" applyBorder="1"/>
    <xf numFmtId="14" fontId="0" fillId="0" borderId="2" xfId="0" applyNumberFormat="1" applyBorder="1"/>
    <xf numFmtId="0" fontId="0" fillId="0" borderId="2" xfId="0" pivotButton="1" applyBorder="1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1" applyFont="1" applyAlignment="1">
      <alignment wrapText="1"/>
    </xf>
    <xf numFmtId="49" fontId="3" fillId="0" borderId="3" xfId="0" applyNumberFormat="1" applyFont="1" applyBorder="1"/>
    <xf numFmtId="1" fontId="1" fillId="0" borderId="3" xfId="1" applyNumberFormat="1" applyFont="1" applyBorder="1" applyAlignment="1">
      <alignment horizontal="right" wrapText="1"/>
    </xf>
    <xf numFmtId="14" fontId="1" fillId="0" borderId="3" xfId="1" applyNumberFormat="1" applyFont="1" applyBorder="1" applyAlignment="1">
      <alignment horizontal="right" wrapText="1"/>
    </xf>
    <xf numFmtId="0" fontId="4" fillId="0" borderId="3" xfId="1" applyFont="1" applyBorder="1" applyAlignment="1">
      <alignment horizontal="left" wrapText="1"/>
    </xf>
    <xf numFmtId="2" fontId="1" fillId="0" borderId="3" xfId="1" applyNumberFormat="1" applyFont="1" applyBorder="1" applyAlignment="1">
      <alignment horizontal="right" wrapText="1"/>
    </xf>
    <xf numFmtId="49" fontId="4" fillId="0" borderId="3" xfId="1" applyNumberFormat="1" applyFont="1" applyBorder="1" applyAlignment="1">
      <alignment wrapText="1"/>
    </xf>
    <xf numFmtId="49" fontId="1" fillId="0" borderId="3" xfId="1" applyNumberFormat="1" applyFont="1" applyBorder="1" applyAlignment="1">
      <alignment horizontal="right" wrapText="1"/>
    </xf>
    <xf numFmtId="0" fontId="1" fillId="0" borderId="3" xfId="1" applyFont="1" applyBorder="1" applyAlignment="1">
      <alignment wrapText="1"/>
    </xf>
    <xf numFmtId="0" fontId="2" fillId="0" borderId="3" xfId="1" applyBorder="1"/>
    <xf numFmtId="0" fontId="4" fillId="0" borderId="3" xfId="1" applyFont="1" applyBorder="1" applyAlignment="1">
      <alignment wrapText="1"/>
    </xf>
    <xf numFmtId="0" fontId="0" fillId="0" borderId="3" xfId="0" applyBorder="1"/>
    <xf numFmtId="14" fontId="4" fillId="0" borderId="3" xfId="1" applyNumberFormat="1" applyFont="1" applyBorder="1" applyAlignment="1">
      <alignment horizontal="right" wrapText="1"/>
    </xf>
    <xf numFmtId="0" fontId="1" fillId="0" borderId="3" xfId="1" applyFont="1" applyBorder="1" applyAlignment="1">
      <alignment horizontal="left" wrapText="1"/>
    </xf>
    <xf numFmtId="49" fontId="1" fillId="0" borderId="3" xfId="1" applyNumberFormat="1" applyFont="1" applyBorder="1" applyAlignment="1">
      <alignment wrapText="1"/>
    </xf>
    <xf numFmtId="0" fontId="1" fillId="0" borderId="3" xfId="1" applyFont="1" applyBorder="1" applyAlignment="1">
      <alignment horizontal="right" wrapText="1"/>
    </xf>
    <xf numFmtId="1" fontId="4" fillId="0" borderId="3" xfId="1" applyNumberFormat="1" applyFont="1" applyBorder="1" applyAlignment="1">
      <alignment horizontal="right" wrapText="1"/>
    </xf>
    <xf numFmtId="2" fontId="4" fillId="0" borderId="3" xfId="1" applyNumberFormat="1" applyFont="1" applyBorder="1" applyAlignment="1">
      <alignment horizontal="right" wrapText="1"/>
    </xf>
    <xf numFmtId="49" fontId="0" fillId="0" borderId="3" xfId="0" applyNumberFormat="1" applyBorder="1"/>
    <xf numFmtId="0" fontId="1" fillId="2" borderId="3" xfId="1" applyFont="1" applyFill="1" applyBorder="1" applyAlignment="1">
      <alignment horizontal="center"/>
    </xf>
    <xf numFmtId="49" fontId="1" fillId="2" borderId="3" xfId="1" applyNumberFormat="1" applyFont="1" applyFill="1" applyBorder="1" applyAlignment="1">
      <alignment horizontal="center"/>
    </xf>
    <xf numFmtId="0" fontId="0" fillId="0" borderId="2" xfId="0" applyNumberFormat="1" applyBorder="1"/>
    <xf numFmtId="0" fontId="0" fillId="0" borderId="2" xfId="0" applyFill="1" applyBorder="1"/>
    <xf numFmtId="164" fontId="0" fillId="0" borderId="2" xfId="0" applyNumberFormat="1" applyFill="1" applyBorder="1"/>
    <xf numFmtId="0" fontId="0" fillId="0" borderId="4" xfId="0" applyFill="1" applyBorder="1"/>
  </cellXfs>
  <cellStyles count="2">
    <cellStyle name="Normal" xfId="0" builtinId="0"/>
    <cellStyle name="Normal_FUNCIONAMENTO" xfId="1" xr:uid="{00000000-0005-0000-0000-000001000000}"/>
  </cellStyles>
  <dxfs count="110">
    <dxf>
      <font>
        <color rgb="FF00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3.484686458331" createdVersion="8" refreshedVersion="7" minRefreshableVersion="3" recordCount="179" xr:uid="{00000000-000A-0000-FFFF-FFFF01000000}">
  <cacheSource type="worksheet">
    <worksheetSource ref="A1:R920" sheet="FUNCIONAMENTO"/>
  </cacheSource>
  <cacheFields count="18">
    <cacheField name="NUMERO" numFmtId="0">
      <sharedItems containsBlank="1" containsMixedTypes="1" containsNumber="1" containsInteger="1" minValue="0" maxValue="223" count="150">
        <n v="0"/>
        <s v="O"/>
        <n v="153"/>
        <n v="154"/>
        <n v="155"/>
        <n v="156"/>
        <n v="157"/>
        <n v="164"/>
        <n v="165"/>
        <n v="197"/>
        <n v="198"/>
        <n v="199"/>
        <n v="200"/>
        <n v="201"/>
        <n v="220"/>
        <n v="221"/>
        <n v="3"/>
        <n v="11"/>
        <n v="14"/>
        <n v="16"/>
        <n v="17"/>
        <n v="20"/>
        <n v="22"/>
        <n v="28"/>
        <n v="29"/>
        <n v="33"/>
        <n v="34"/>
        <n v="40"/>
        <n v="46"/>
        <m/>
        <n v="7" u="1"/>
        <n v="109" u="1"/>
        <n v="69" u="1"/>
        <n v="223" u="1"/>
        <n v="196" u="1"/>
        <n v="82" u="1"/>
        <n v="53" u="1"/>
        <n v="222" u="1"/>
        <n v="95" u="1"/>
        <n v="168" u="1"/>
        <n v="108" u="1"/>
        <n v="68" u="1"/>
        <n v="19" u="1"/>
        <n v="81" u="1"/>
        <n v="94" u="1"/>
        <n v="59" u="1"/>
        <n v="39" u="1"/>
        <n v="193" u="1"/>
        <n v="107" u="1"/>
        <n v="67" u="1"/>
        <n v="219" u="1"/>
        <n v="80" u="1"/>
        <n v="52" u="1"/>
        <n v="32" u="1"/>
        <n v="9" u="1"/>
        <n v="6" u="1"/>
        <n v="218" u="1"/>
        <n v="93" u="1"/>
        <n v="1" u="1"/>
        <n v="106" u="1"/>
        <n v="66" u="1"/>
        <n v="45" u="1"/>
        <n v="217" u="1"/>
        <n v="79" u="1"/>
        <n v="163" u="1"/>
        <n v="216" u="1"/>
        <n v="92" u="1"/>
        <n v="58" u="1"/>
        <n v="38" u="1"/>
        <n v="25" u="1"/>
        <n v="189" u="1"/>
        <n v="162" u="1"/>
        <n v="105" u="1"/>
        <n v="65" u="1"/>
        <n v="188" u="1"/>
        <n v="78" u="1"/>
        <n v="51" u="1"/>
        <n v="91" u="1"/>
        <n v="187" u="1"/>
        <n v="104" u="1"/>
        <n v="64" u="1"/>
        <n v="44" u="1"/>
        <n v="213" u="1"/>
        <n v="18" u="1"/>
        <n v="12" u="1"/>
        <n v="5" u="1"/>
        <n v="2" u="1"/>
        <n v="77" u="1"/>
        <n v="90" u="1"/>
        <n v="57" u="1"/>
        <n v="37" u="1"/>
        <n v="158" u="1"/>
        <n v="103" u="1"/>
        <n v="76" u="1"/>
        <n v="50" u="1"/>
        <n v="31" u="1"/>
        <n v="21" u="1"/>
        <n v="210" u="1"/>
        <n v="89" u="1"/>
        <n v="102" u="1"/>
        <n v="63" u="1"/>
        <n v="43" u="1"/>
        <n v="75" u="1"/>
        <n v="88" u="1"/>
        <n v="56" u="1"/>
        <n v="36" u="1"/>
        <n v="24" u="1"/>
        <n v="15" u="1"/>
        <n v="10" u="1"/>
        <n v="4" u="1"/>
        <n v="101" u="1"/>
        <n v="114" u="1"/>
        <n v="74" u="1"/>
        <n v="49" u="1"/>
        <n v="87" u="1"/>
        <n v="100" u="1"/>
        <n v="62" u="1"/>
        <n v="42" u="1"/>
        <n v="27" u="1"/>
        <n v="178" u="1"/>
        <n v="73" u="1"/>
        <n v="204" u="1"/>
        <n v="86" u="1"/>
        <n v="55" u="1"/>
        <n v="35" u="1"/>
        <n v="99" u="1"/>
        <n v="72" u="1"/>
        <n v="48" u="1"/>
        <n v="30" u="1"/>
        <n v="13" u="1"/>
        <n v="8" u="1"/>
        <n v="85" u="1"/>
        <n v="98" u="1"/>
        <n v="61" u="1"/>
        <n v="41" u="1"/>
        <n v="111" u="1"/>
        <n v="71" u="1"/>
        <n v="84" u="1"/>
        <n v="54" u="1"/>
        <n v="23" u="1"/>
        <n v="146" u="1"/>
        <n v="97" u="1"/>
        <n v="110" u="1"/>
        <n v="70" u="1"/>
        <n v="47" u="1"/>
        <n v="145" u="1"/>
        <n v="83" u="1"/>
        <n v="96" u="1"/>
        <n v="60" u="1"/>
        <n v="26" u="1"/>
      </sharedItems>
    </cacheField>
    <cacheField name="DATA" numFmtId="0">
      <sharedItems containsNonDate="0" containsDate="1" containsString="0" containsBlank="1" minDate="2020-04-30T00:00:00" maxDate="2026-03-13T00:00:00" count="48">
        <d v="2026-01-01T00:00:00"/>
        <d v="2025-01-01T00:00:00"/>
        <d v="2026-02-02T00:00:00"/>
        <d v="2025-11-05T00:00:00"/>
        <d v="2025-11-10T00:00:00"/>
        <d v="2025-12-12T00:00:00"/>
        <d v="2026-01-09T00:00:00"/>
        <d v="2026-01-15T00:00:00"/>
        <d v="2026-01-29T00:00:00"/>
        <d v="2026-02-05T00:00:00"/>
        <d v="2026-02-10T00:00:00"/>
        <d v="2026-02-12T00:00:00"/>
        <d v="2026-02-27T00:00:00"/>
        <d v="2026-03-09T00:00:00"/>
        <d v="2026-03-12T00:00:00"/>
        <m/>
        <d v="2025-12-30T00:00:00" u="1"/>
        <d v="2024-11-11T00:00:00" u="1"/>
        <d v="2024-12-16T00:00:00" u="1"/>
        <d v="2025-11-11T00:00:00" u="1"/>
        <d v="2025-12-16T00:00:00" u="1"/>
        <d v="2025-07-22T00:00:00" u="1"/>
        <d v="2025-01-16T00:00:00" u="1"/>
        <d v="2024-10-30T00:00:00" u="1"/>
        <d v="2025-06-03T00:00:00" u="1"/>
        <d v="2025-02-26T00:00:00" u="1"/>
        <d v="2025-11-21T00:00:00" u="1"/>
        <d v="2025-03-31T00:00:00" u="1"/>
        <d v="2021-09-16T00:00:00" u="1"/>
        <d v="2025-05-15T00:00:00" u="1"/>
        <d v="2025-12-05T00:00:00" u="1"/>
        <d v="2025-06-25T00:00:00" u="1"/>
        <d v="2024-12-10T00:00:00" u="1"/>
        <d v="2025-06-11T00:00:00" u="1"/>
        <d v="2023-11-17T00:00:00" u="1"/>
        <d v="2025-01-17T00:00:00" u="1"/>
        <d v="2025-12-03T00:00:00" u="1"/>
        <d v="2025-11-03T00:00:00" u="1"/>
        <d v="2024-11-22T00:00:00" u="1"/>
        <d v="2020-04-30T00:00:00" u="1"/>
        <d v="2025-01-15T00:00:00" u="1"/>
        <d v="2022-11-08T00:00:00" u="1"/>
        <d v="2024-12-20T00:00:00" u="1"/>
        <d v="2025-04-23T00:00:00" u="1"/>
        <d v="2025-11-01T00:00:00" u="1"/>
        <d v="2025-09-22T00:00:00" u="1"/>
        <d v="2026-01-13T00:00:00" u="1"/>
        <d v="2025-10-27T00:00:00" u="1"/>
      </sharedItems>
    </cacheField>
    <cacheField name="CONCEPTO" numFmtId="0">
      <sharedItems containsBlank="1" count="108">
        <s v="X.T- CENTROS PIE 2025"/>
        <s v="X.T.PROGRAMA CERTIFICACION COMPETENCIA LINGÜÍSTICA"/>
        <s v="X.T. APRENDIZAXE LINGUAS EXTRAXEIRAS 2026"/>
        <s v="X.T. DESENVOLVEMENTO PROG EDUCACION DIXITAL"/>
        <s v="X.T.PLAMBE MOBILIARIO"/>
        <s v="X.T. XESTION ATENCION BIBLIOTECA ESCOLAR"/>
        <s v="X.T. FOMENTO USO DO GALEGO"/>
        <s v="PROGRAMA ÉXITO ESCOLAR-IMPULSO DAS MATEMÁTICAS"/>
        <s v="X.T. PLAMBE FONDOS"/>
        <s v="BECAS S G TESORO"/>
        <s v="NEUROSINAIS"/>
        <s v="ANA RODRIGUEZ (xustificado 2025)"/>
        <s v="ANA RODRÍGUEZ (xustificado 2025)"/>
        <s v="ANAYA"/>
        <s v="ANA RODRIGUEZ"/>
        <s v="BOLANDA"/>
        <s v="TECNIART"/>
        <s v="ANA RODRÍGUEZ "/>
        <s v="LAURA MENDEZ"/>
        <s v="CRISTINA VIDAL"/>
        <m/>
        <s v="AUTOBÚS 3º/4º (MOEDAS)" u="1"/>
        <s v="EXCUR. 5º LUCUS AVENTUR" u="1"/>
        <s v="AMAZON" u="1"/>
        <s v="NEW CENTER" u="1"/>
        <s v="JOSE LUIS RODRIGUEZ BLANCO" u="1"/>
        <s v="ITINERANCIAS ABRIL CRISTINA" u="1"/>
        <s v="BECAS SG TESORO" u="1"/>
        <s v="MERCACHINA" u="1"/>
        <s v="SONIA SUAREZ" u="1"/>
        <s v="NEW CENTRE BAZAR MODA" u="1"/>
        <s v="NEX CENTER BAZAR MODA" u="1"/>
        <s v="AUTOBÚS 3º/4º (BILLETES)" u="1"/>
        <s v="RESERVA AC. LUCUS AVENTURE" u="1"/>
        <s v="INVOICE" u="1"/>
        <s v="DEPARTAMENTO TERRITORIAL" u="1"/>
        <s v="LIBRERÍA MAGO" u="1"/>
        <s v="VIAXE-COMIDA DIRECTOR SANTIAGO 20/0 3/25 " u="1"/>
        <s v="ANA BELEN TRILLO LODEIRO" u="1"/>
        <s v="E.S. GUNTIN" u="1"/>
        <s v="SALDO ANTERIOR" u="1"/>
        <s v="VELAISCA" u="1"/>
        <s v="X.T. PLAMBE" u="1"/>
        <s v="AUTOBUS 1º CICLO" u="1"/>
        <s v="GRAN BAZAR LIYONG" u="1"/>
        <s v="A. PINILLA" u="1"/>
        <s v="ITINERANCIAS XUÑO BEGOÑA" u="1"/>
        <s v="FRAGA DOS MOUROS" u="1"/>
        <s v="ANA RODRÍGUEZ" u="1"/>
        <s v="GASTOS ANTERIOES 2020/2024" u="1"/>
        <s v="DECLARACIÓN IMPUESTOS" u="1"/>
        <s v="DIETA 29/05" u="1"/>
        <s v="DIETA 29/06" u="1"/>
        <s v="SACAUNTOS" u="1"/>
        <s v="DIETAS conserxería" u="1"/>
        <s v="2º PAGO AC. LUCUS AVENTUR" u="1"/>
        <s v="GRENKE RENT, S.L.U.                                  " u="1"/>
        <s v="ROSA A. FDEZ LAGAR" u="1"/>
        <s v="MIDETERGENTE" u="1"/>
        <s v="AMAZON EU" u="1"/>
        <s v="SECURITAS DIRECT ESPANA S.A.U.                       " u="1"/>
        <s v="PRELO" u="1"/>
        <s v="IRINDO" u="1"/>
        <s v="A. SANCHEZ" u="1"/>
        <s v="ITINERANCIAS XUÑO NATI" u="1"/>
        <s v="2º ABONO LUCUS AVENTUR 3º/4º" u="1"/>
        <s v="BOLANDA EDICIONES" u="1"/>
        <s v="ITINERANCIAS MAIO CRISTINA" u="1"/>
        <s v="XORNAL PAPAGAIO" u="1"/>
        <s v="F. BUXARDA" u="1"/>
        <s v="BECA ALUMNO TRASLADADO" u="1"/>
        <s v="GALICHIP" u="1"/>
        <s v="MARKET RAPISARDA" u="1"/>
        <s v="ITINERANCIAS BEGONA MARZO 2025                       " u="1"/>
        <s v="ITINERANCIAS CRISTINA MARZO 2025                     " u="1"/>
        <s v="ITINERANCIAS FEBREIRO BEGONA                         " u="1"/>
        <s v="ITINERANCIAS FEBREIRO CRISTINA                       " u="1"/>
        <s v="ITINERANCIAS FEBREIRO NATI                           " u="1"/>
        <s v="ITINERANCIAS FEBREIRO PAMELA                         " u="1"/>
        <s v="ITINERANCIAS NATI MARZO 2025                         " u="1"/>
        <s v="ITINERANCIAS XANEIRO BEGONA                          " u="1"/>
        <s v="ITINERANCIAS XANEIRO CRISTINA                        " u="1"/>
        <s v="ITINERANCIAS XANEIRO NATI                            " u="1"/>
        <s v="ITINERANCIAS XANEIRO PAMELA                          " u="1"/>
        <s v="ELSUNO" u="1"/>
        <s v="ITINERANCIAS ABRIL BEGONA" u="1"/>
        <s v="MATHIAS" u="1"/>
        <s v="_x0009_GRENKE RENT, S.L.U." u="1"/>
        <s v="RESERVA LUCUS AVENTUR" u="1"/>
        <s v="ESTURION GALICIA S.L." u="1"/>
        <s v="HERCULES EDICIONES" u="1"/>
        <s v="SECURITAS DIRECT ESPANA S.A.U." u="1"/>
        <s v="DIETAS 26,27,28,29/06" u="1"/>
        <s v="X.T- CENTROS PIE 2024" u="1"/>
        <s v="LIBRERIA MAGO" u="1"/>
        <s v="AUTOBUS E. INFANTIL" u="1"/>
        <s v="VICENS VIVES " u="1"/>
        <s v="CALENDARIOS ESTIÑO" u="1"/>
        <s v="ITACA S.L. SANTILLANA" u="1"/>
        <s v="IITINERANCIAS MAIO NATI" u="1"/>
        <s v="ITINERANCIAS ABRIL NATI" u="1"/>
        <s v="GALINK" u="1"/>
        <s v="X.T. APRENDIZAXE LINGUAS EXTRAXEIRAS 2024" u="1"/>
        <s v="CENTROS PIE 2025" u="1"/>
        <s v="LIDIA GOBERNA LAUREDA" u="1"/>
        <s v="ITINERANCIAS MAIO 2025 BEGONA" u="1"/>
        <s v="VINOSACRA" u="1"/>
        <s v="VICENS VIVES" u="1"/>
      </sharedItems>
    </cacheField>
    <cacheField name="DEBE" numFmtId="0">
      <sharedItems containsString="0" containsBlank="1" containsNumber="1" minValue="8.2200000000000006" maxValue="400"/>
    </cacheField>
    <cacheField name="HABER" numFmtId="0">
      <sharedItems containsString="0" containsBlank="1" containsNumber="1" minValue="0" maxValue="2226"/>
    </cacheField>
    <cacheField name="I_G" numFmtId="49">
      <sharedItems containsBlank="1"/>
    </cacheField>
    <cacheField name="CODIGO" numFmtId="0">
      <sharedItems containsBlank="1"/>
    </cacheField>
    <cacheField name="Cod Decrip" numFmtId="0">
      <sharedItems containsBlank="1"/>
    </cacheField>
    <cacheField name="PERIODO" numFmtId="0">
      <sharedItems containsBlank="1"/>
    </cacheField>
    <cacheField name="LIBRE" numFmtId="0">
      <sharedItems containsNonDate="0" containsString="0" containsBlank="1"/>
    </cacheField>
    <cacheField name="XUSTIFICA" numFmtId="0">
      <sharedItems containsBlank="1" count="18">
        <s v="CENTROS PIE"/>
        <s v="X.T. PROGRAMA CERTIFICACIÓN COMPETENCIA LINGÜÍSTICA"/>
        <s v="LINGUAS EXTRANXEIRAS"/>
        <s v="DESENVOLVEMENTO PROGRAMA EDUCACIÓN DIXITAL"/>
        <s v="PLAMBE-MOBILIARIO"/>
        <s v="XESTION ATENCION BIBLIOTECA"/>
        <s v="FOMENTO DO USO DO GALEGO"/>
        <s v="PROGRAMA ÉXITO ESCOLAR-IMPULSO DAS MATEMÁTICAS"/>
        <s v="PLAMBE-FONDOS"/>
        <s v="BECAS NEAE"/>
        <m/>
        <s v="" u="1"/>
        <s v="CENTROS PIE 2024" u="1"/>
        <s v="MATERIAL" u="1"/>
        <s v="REPROGRAFIA" u="1"/>
        <s v="PROGRAMA COMPETENCIA LINGUÍSTICA" u="1"/>
        <s v="ALARMA" u="1"/>
        <s v="DESENVOLVEMENTO PROGRAMA EDUCACIÓN DIXITAL 2024" u="1"/>
      </sharedItems>
    </cacheField>
    <cacheField name="NOME" numFmtId="0">
      <sharedItems containsBlank="1" containsMixedTypes="1" containsNumber="1" containsInteger="1" minValue="2025" maxValue="2025" count="7">
        <m/>
        <s v="ROI"/>
        <s v="CANDELA"/>
        <s v="SAMARA"/>
        <s v="MATHIAS"/>
        <s v="CHRISTOPHER"/>
        <n v="2025" u="1"/>
      </sharedItems>
    </cacheField>
    <cacheField name="EUROS" numFmtId="0">
      <sharedItems containsNonDate="0" containsString="0" containsBlank="1"/>
    </cacheField>
    <cacheField name="DIA" numFmtId="0">
      <sharedItems containsNonDate="0" containsString="0" containsBlank="1"/>
    </cacheField>
    <cacheField name="MES" numFmtId="0">
      <sharedItems containsNonDate="0" containsString="0" containsBlank="1"/>
    </cacheField>
    <cacheField name="ANO" numFmtId="0">
      <sharedItems containsNonDate="0" containsString="0" containsBlank="1"/>
    </cacheField>
    <cacheField name="CHEQUE" numFmtId="0">
      <sharedItems containsNonDate="0" containsString="0" containsBlank="1"/>
    </cacheField>
    <cacheField name="IMPRIMI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3.484686689815" createdVersion="8" refreshedVersion="7" minRefreshableVersion="3" recordCount="179" xr:uid="{00000000-000A-0000-FFFF-FFFF00000000}">
  <cacheSource type="worksheet">
    <worksheetSource ref="A1:K920" sheet="FUNCIONAMENTO"/>
  </cacheSource>
  <cacheFields count="11">
    <cacheField name="NUMERO" numFmtId="0">
      <sharedItems containsBlank="1" containsMixedTypes="1" containsNumber="1" containsInteger="1" minValue="0" maxValue="223" count="150">
        <n v="0"/>
        <s v="O"/>
        <n v="153"/>
        <n v="154"/>
        <n v="155"/>
        <n v="156"/>
        <n v="157"/>
        <n v="164"/>
        <n v="165"/>
        <n v="197"/>
        <n v="198"/>
        <n v="199"/>
        <n v="200"/>
        <n v="201"/>
        <n v="220"/>
        <n v="221"/>
        <n v="3"/>
        <n v="11"/>
        <n v="14"/>
        <n v="16"/>
        <n v="17"/>
        <n v="20"/>
        <n v="22"/>
        <n v="28"/>
        <n v="29"/>
        <n v="33"/>
        <n v="34"/>
        <n v="40"/>
        <n v="46"/>
        <m/>
        <n v="7" u="1"/>
        <n v="109" u="1"/>
        <n v="69" u="1"/>
        <n v="223" u="1"/>
        <n v="196" u="1"/>
        <n v="82" u="1"/>
        <n v="53" u="1"/>
        <n v="222" u="1"/>
        <n v="95" u="1"/>
        <n v="168" u="1"/>
        <n v="108" u="1"/>
        <n v="68" u="1"/>
        <n v="19" u="1"/>
        <n v="81" u="1"/>
        <n v="94" u="1"/>
        <n v="59" u="1"/>
        <n v="39" u="1"/>
        <n v="193" u="1"/>
        <n v="107" u="1"/>
        <n v="67" u="1"/>
        <n v="219" u="1"/>
        <n v="80" u="1"/>
        <n v="52" u="1"/>
        <n v="32" u="1"/>
        <n v="9" u="1"/>
        <n v="6" u="1"/>
        <n v="218" u="1"/>
        <n v="93" u="1"/>
        <n v="1" u="1"/>
        <n v="106" u="1"/>
        <n v="66" u="1"/>
        <n v="45" u="1"/>
        <n v="217" u="1"/>
        <n v="79" u="1"/>
        <n v="163" u="1"/>
        <n v="216" u="1"/>
        <n v="92" u="1"/>
        <n v="58" u="1"/>
        <n v="38" u="1"/>
        <n v="25" u="1"/>
        <n v="189" u="1"/>
        <n v="162" u="1"/>
        <n v="105" u="1"/>
        <n v="65" u="1"/>
        <n v="188" u="1"/>
        <n v="78" u="1"/>
        <n v="51" u="1"/>
        <n v="91" u="1"/>
        <n v="187" u="1"/>
        <n v="104" u="1"/>
        <n v="64" u="1"/>
        <n v="44" u="1"/>
        <n v="213" u="1"/>
        <n v="18" u="1"/>
        <n v="12" u="1"/>
        <n v="5" u="1"/>
        <n v="2" u="1"/>
        <n v="77" u="1"/>
        <n v="90" u="1"/>
        <n v="57" u="1"/>
        <n v="37" u="1"/>
        <n v="158" u="1"/>
        <n v="103" u="1"/>
        <n v="76" u="1"/>
        <n v="50" u="1"/>
        <n v="31" u="1"/>
        <n v="21" u="1"/>
        <n v="210" u="1"/>
        <n v="89" u="1"/>
        <n v="102" u="1"/>
        <n v="63" u="1"/>
        <n v="43" u="1"/>
        <n v="75" u="1"/>
        <n v="88" u="1"/>
        <n v="56" u="1"/>
        <n v="36" u="1"/>
        <n v="24" u="1"/>
        <n v="15" u="1"/>
        <n v="10" u="1"/>
        <n v="4" u="1"/>
        <n v="101" u="1"/>
        <n v="114" u="1"/>
        <n v="74" u="1"/>
        <n v="49" u="1"/>
        <n v="87" u="1"/>
        <n v="100" u="1"/>
        <n v="62" u="1"/>
        <n v="42" u="1"/>
        <n v="27" u="1"/>
        <n v="178" u="1"/>
        <n v="73" u="1"/>
        <n v="204" u="1"/>
        <n v="86" u="1"/>
        <n v="55" u="1"/>
        <n v="35" u="1"/>
        <n v="99" u="1"/>
        <n v="72" u="1"/>
        <n v="48" u="1"/>
        <n v="30" u="1"/>
        <n v="13" u="1"/>
        <n v="8" u="1"/>
        <n v="85" u="1"/>
        <n v="98" u="1"/>
        <n v="61" u="1"/>
        <n v="41" u="1"/>
        <n v="111" u="1"/>
        <n v="71" u="1"/>
        <n v="84" u="1"/>
        <n v="54" u="1"/>
        <n v="23" u="1"/>
        <n v="146" u="1"/>
        <n v="97" u="1"/>
        <n v="110" u="1"/>
        <n v="70" u="1"/>
        <n v="47" u="1"/>
        <n v="145" u="1"/>
        <n v="83" u="1"/>
        <n v="96" u="1"/>
        <n v="60" u="1"/>
        <n v="26" u="1"/>
      </sharedItems>
    </cacheField>
    <cacheField name="DATA" numFmtId="0">
      <sharedItems containsNonDate="0" containsDate="1" containsString="0" containsBlank="1" minDate="2020-04-30T00:00:00" maxDate="2026-03-13T00:00:00" count="48">
        <d v="2026-01-01T00:00:00"/>
        <d v="2025-01-01T00:00:00"/>
        <d v="2026-02-02T00:00:00"/>
        <d v="2025-11-05T00:00:00"/>
        <d v="2025-11-10T00:00:00"/>
        <d v="2025-12-12T00:00:00"/>
        <d v="2026-01-09T00:00:00"/>
        <d v="2026-01-15T00:00:00"/>
        <d v="2026-01-29T00:00:00"/>
        <d v="2026-02-05T00:00:00"/>
        <d v="2026-02-10T00:00:00"/>
        <d v="2026-02-12T00:00:00"/>
        <d v="2026-02-27T00:00:00"/>
        <d v="2026-03-09T00:00:00"/>
        <d v="2026-03-12T00:00:00"/>
        <m/>
        <d v="2025-12-30T00:00:00" u="1"/>
        <d v="2024-11-11T00:00:00" u="1"/>
        <d v="2024-12-16T00:00:00" u="1"/>
        <d v="2025-11-11T00:00:00" u="1"/>
        <d v="2025-12-16T00:00:00" u="1"/>
        <d v="2025-07-22T00:00:00" u="1"/>
        <d v="2025-01-16T00:00:00" u="1"/>
        <d v="2024-10-30T00:00:00" u="1"/>
        <d v="2025-06-03T00:00:00" u="1"/>
        <d v="2025-02-26T00:00:00" u="1"/>
        <d v="2025-11-21T00:00:00" u="1"/>
        <d v="2025-03-31T00:00:00" u="1"/>
        <d v="2021-09-16T00:00:00" u="1"/>
        <d v="2025-05-15T00:00:00" u="1"/>
        <d v="2025-12-05T00:00:00" u="1"/>
        <d v="2025-06-25T00:00:00" u="1"/>
        <d v="2024-12-10T00:00:00" u="1"/>
        <d v="2025-06-11T00:00:00" u="1"/>
        <d v="2023-11-17T00:00:00" u="1"/>
        <d v="2025-01-17T00:00:00" u="1"/>
        <d v="2025-12-03T00:00:00" u="1"/>
        <d v="2025-11-03T00:00:00" u="1"/>
        <d v="2024-11-22T00:00:00" u="1"/>
        <d v="2020-04-30T00:00:00" u="1"/>
        <d v="2025-01-15T00:00:00" u="1"/>
        <d v="2022-11-08T00:00:00" u="1"/>
        <d v="2024-12-20T00:00:00" u="1"/>
        <d v="2025-04-23T00:00:00" u="1"/>
        <d v="2025-11-01T00:00:00" u="1"/>
        <d v="2025-09-22T00:00:00" u="1"/>
        <d v="2026-01-13T00:00:00" u="1"/>
        <d v="2025-10-27T00:00:00" u="1"/>
      </sharedItems>
    </cacheField>
    <cacheField name="CONCEPTO" numFmtId="0">
      <sharedItems containsBlank="1" count="108">
        <s v="X.T- CENTROS PIE 2025"/>
        <s v="X.T.PROGRAMA CERTIFICACION COMPETENCIA LINGÜÍSTICA"/>
        <s v="X.T. APRENDIZAXE LINGUAS EXTRAXEIRAS 2026"/>
        <s v="X.T. DESENVOLVEMENTO PROG EDUCACION DIXITAL"/>
        <s v="X.T.PLAMBE MOBILIARIO"/>
        <s v="X.T. XESTION ATENCION BIBLIOTECA ESCOLAR"/>
        <s v="X.T. FOMENTO USO DO GALEGO"/>
        <s v="PROGRAMA ÉXITO ESCOLAR-IMPULSO DAS MATEMÁTICAS"/>
        <s v="X.T. PLAMBE FONDOS"/>
        <s v="BECAS S G TESORO"/>
        <s v="NEUROSINAIS"/>
        <s v="ANA RODRIGUEZ (xustificado 2025)"/>
        <s v="ANA RODRÍGUEZ (xustificado 2025)"/>
        <s v="ANAYA"/>
        <s v="ANA RODRIGUEZ"/>
        <s v="BOLANDA"/>
        <s v="TECNIART"/>
        <s v="ANA RODRÍGUEZ "/>
        <s v="LAURA MENDEZ"/>
        <s v="CRISTINA VIDAL"/>
        <m/>
        <s v="AUTOBÚS 3º/4º (MOEDAS)" u="1"/>
        <s v="EXCUR. 5º LUCUS AVENTUR" u="1"/>
        <s v="AMAZON" u="1"/>
        <s v="NEW CENTER" u="1"/>
        <s v="JOSE LUIS RODRIGUEZ BLANCO" u="1"/>
        <s v="ITINERANCIAS ABRIL CRISTINA" u="1"/>
        <s v="BECAS SG TESORO" u="1"/>
        <s v="MERCACHINA" u="1"/>
        <s v="SONIA SUAREZ" u="1"/>
        <s v="NEW CENTRE BAZAR MODA" u="1"/>
        <s v="NEX CENTER BAZAR MODA" u="1"/>
        <s v="AUTOBÚS 3º/4º (BILLETES)" u="1"/>
        <s v="RESERVA AC. LUCUS AVENTURE" u="1"/>
        <s v="INVOICE" u="1"/>
        <s v="DEPARTAMENTO TERRITORIAL" u="1"/>
        <s v="LIBRERÍA MAGO" u="1"/>
        <s v="VIAXE-COMIDA DIRECTOR SANTIAGO 20/0 3/25 " u="1"/>
        <s v="ANA BELEN TRILLO LODEIRO" u="1"/>
        <s v="E.S. GUNTIN" u="1"/>
        <s v="SALDO ANTERIOR" u="1"/>
        <s v="VELAISCA" u="1"/>
        <s v="X.T. PLAMBE" u="1"/>
        <s v="AUTOBUS 1º CICLO" u="1"/>
        <s v="GRAN BAZAR LIYONG" u="1"/>
        <s v="A. PINILLA" u="1"/>
        <s v="ITINERANCIAS XUÑO BEGOÑA" u="1"/>
        <s v="FRAGA DOS MOUROS" u="1"/>
        <s v="ANA RODRÍGUEZ" u="1"/>
        <s v="GASTOS ANTERIOES 2020/2024" u="1"/>
        <s v="DECLARACIÓN IMPUESTOS" u="1"/>
        <s v="DIETA 29/05" u="1"/>
        <s v="DIETA 29/06" u="1"/>
        <s v="SACAUNTOS" u="1"/>
        <s v="DIETAS conserxería" u="1"/>
        <s v="2º PAGO AC. LUCUS AVENTUR" u="1"/>
        <s v="GRENKE RENT, S.L.U.                                  " u="1"/>
        <s v="ROSA A. FDEZ LAGAR" u="1"/>
        <s v="MIDETERGENTE" u="1"/>
        <s v="AMAZON EU" u="1"/>
        <s v="SECURITAS DIRECT ESPANA S.A.U.                       " u="1"/>
        <s v="PRELO" u="1"/>
        <s v="IRINDO" u="1"/>
        <s v="A. SANCHEZ" u="1"/>
        <s v="ITINERANCIAS XUÑO NATI" u="1"/>
        <s v="2º ABONO LUCUS AVENTUR 3º/4º" u="1"/>
        <s v="BOLANDA EDICIONES" u="1"/>
        <s v="ITINERANCIAS MAIO CRISTINA" u="1"/>
        <s v="XORNAL PAPAGAIO" u="1"/>
        <s v="F. BUXARDA" u="1"/>
        <s v="BECA ALUMNO TRASLADADO" u="1"/>
        <s v="GALICHIP" u="1"/>
        <s v="MARKET RAPISARDA" u="1"/>
        <s v="ITINERANCIAS BEGONA MARZO 2025                       " u="1"/>
        <s v="ITINERANCIAS CRISTINA MARZO 2025                     " u="1"/>
        <s v="ITINERANCIAS FEBREIRO BEGONA                         " u="1"/>
        <s v="ITINERANCIAS FEBREIRO CRISTINA                       " u="1"/>
        <s v="ITINERANCIAS FEBREIRO NATI                           " u="1"/>
        <s v="ITINERANCIAS FEBREIRO PAMELA                         " u="1"/>
        <s v="ITINERANCIAS NATI MARZO 2025                         " u="1"/>
        <s v="ITINERANCIAS XANEIRO BEGONA                          " u="1"/>
        <s v="ITINERANCIAS XANEIRO CRISTINA                        " u="1"/>
        <s v="ITINERANCIAS XANEIRO NATI                            " u="1"/>
        <s v="ITINERANCIAS XANEIRO PAMELA                          " u="1"/>
        <s v="ELSUNO" u="1"/>
        <s v="ITINERANCIAS ABRIL BEGONA" u="1"/>
        <s v="MATHIAS" u="1"/>
        <s v="_x0009_GRENKE RENT, S.L.U." u="1"/>
        <s v="RESERVA LUCUS AVENTUR" u="1"/>
        <s v="ESTURION GALICIA S.L." u="1"/>
        <s v="HERCULES EDICIONES" u="1"/>
        <s v="SECURITAS DIRECT ESPANA S.A.U." u="1"/>
        <s v="DIETAS 26,27,28,29/06" u="1"/>
        <s v="X.T- CENTROS PIE 2024" u="1"/>
        <s v="LIBRERIA MAGO" u="1"/>
        <s v="AUTOBUS E. INFANTIL" u="1"/>
        <s v="VICENS VIVES " u="1"/>
        <s v="CALENDARIOS ESTIÑO" u="1"/>
        <s v="ITACA S.L. SANTILLANA" u="1"/>
        <s v="IITINERANCIAS MAIO NATI" u="1"/>
        <s v="ITINERANCIAS ABRIL NATI" u="1"/>
        <s v="GALINK" u="1"/>
        <s v="X.T. APRENDIZAXE LINGUAS EXTRAXEIRAS 2024" u="1"/>
        <s v="CENTROS PIE 2025" u="1"/>
        <s v="LIDIA GOBERNA LAUREDA" u="1"/>
        <s v="ITINERANCIAS MAIO 2025 BEGONA" u="1"/>
        <s v="VINOSACRA" u="1"/>
        <s v="VICENS VIVES" u="1"/>
      </sharedItems>
    </cacheField>
    <cacheField name="DEBE" numFmtId="0">
      <sharedItems containsString="0" containsBlank="1" containsNumber="1" minValue="8.2200000000000006" maxValue="400"/>
    </cacheField>
    <cacheField name="HABER" numFmtId="0">
      <sharedItems containsString="0" containsBlank="1" containsNumber="1" minValue="0" maxValue="2226"/>
    </cacheField>
    <cacheField name="I_G" numFmtId="49">
      <sharedItems containsBlank="1"/>
    </cacheField>
    <cacheField name="CODIGO" numFmtId="0">
      <sharedItems containsBlank="1"/>
    </cacheField>
    <cacheField name="Cod Decrip" numFmtId="0">
      <sharedItems containsBlank="1"/>
    </cacheField>
    <cacheField name="PERIODO" numFmtId="0">
      <sharedItems containsBlank="1"/>
    </cacheField>
    <cacheField name="LIBRE" numFmtId="0">
      <sharedItems containsNonDate="0" containsString="0" containsBlank="1"/>
    </cacheField>
    <cacheField name="XUSTIFICA" numFmtId="0">
      <sharedItems containsBlank="1" count="20">
        <s v="CENTROS PIE"/>
        <s v="X.T. PROGRAMA CERTIFICACIÓN COMPETENCIA LINGÜÍSTICA"/>
        <s v="LINGUAS EXTRANXEIRAS"/>
        <s v="DESENVOLVEMENTO PROGRAMA EDUCACIÓN DIXITAL"/>
        <s v="PLAMBE-MOBILIARIO"/>
        <s v="XESTION ATENCION BIBLIOTECA"/>
        <s v="FOMENTO DO USO DO GALEGO"/>
        <s v="PROGRAMA ÉXITO ESCOLAR-IMPULSO DAS MATEMÁTICAS"/>
        <s v="PLAMBE-FONDOS"/>
        <s v="BECAS NEAE"/>
        <m/>
        <s v="" u="1"/>
        <s v="CENTROS PIE 2024" u="1"/>
        <s v="MATERIAL" u="1"/>
        <s v="POLOS CREATIVOS" u="1"/>
        <s v="REPROGRAFIA" u="1"/>
        <s v="PROGRAMA COMPETENCIA LINGUÍSTICA" u="1"/>
        <s v="ALARMA" u="1"/>
        <s v="DESENVOLVEMENTO PROGRAMA EDUCACIÓN DIXITAL 2024" u="1"/>
        <s v="LIGUAS EXTRANXEIRA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x v="0"/>
    <x v="0"/>
    <x v="0"/>
    <m/>
    <n v="900"/>
    <s v="I"/>
    <m/>
    <m/>
    <m/>
    <m/>
    <x v="0"/>
    <x v="0"/>
    <m/>
    <m/>
    <m/>
    <m/>
    <m/>
    <m/>
  </r>
  <r>
    <x v="0"/>
    <x v="0"/>
    <x v="1"/>
    <m/>
    <n v="0"/>
    <s v="I"/>
    <m/>
    <m/>
    <m/>
    <m/>
    <x v="1"/>
    <x v="0"/>
    <m/>
    <m/>
    <m/>
    <m/>
    <m/>
    <m/>
  </r>
  <r>
    <x v="0"/>
    <x v="0"/>
    <x v="2"/>
    <m/>
    <n v="553.98"/>
    <s v="I"/>
    <m/>
    <m/>
    <m/>
    <m/>
    <x v="2"/>
    <x v="0"/>
    <m/>
    <m/>
    <m/>
    <m/>
    <m/>
    <m/>
  </r>
  <r>
    <x v="0"/>
    <x v="1"/>
    <x v="3"/>
    <m/>
    <n v="0"/>
    <s v="I"/>
    <m/>
    <m/>
    <m/>
    <m/>
    <x v="3"/>
    <x v="0"/>
    <m/>
    <m/>
    <m/>
    <m/>
    <m/>
    <m/>
  </r>
  <r>
    <x v="0"/>
    <x v="0"/>
    <x v="4"/>
    <m/>
    <n v="0"/>
    <s v="I"/>
    <m/>
    <m/>
    <m/>
    <m/>
    <x v="4"/>
    <x v="0"/>
    <m/>
    <m/>
    <m/>
    <m/>
    <m/>
    <m/>
  </r>
  <r>
    <x v="0"/>
    <x v="0"/>
    <x v="5"/>
    <m/>
    <n v="164.2"/>
    <s v="I"/>
    <m/>
    <m/>
    <m/>
    <m/>
    <x v="5"/>
    <x v="0"/>
    <m/>
    <m/>
    <m/>
    <m/>
    <m/>
    <m/>
  </r>
  <r>
    <x v="0"/>
    <x v="0"/>
    <x v="6"/>
    <m/>
    <n v="0"/>
    <s v="I"/>
    <m/>
    <m/>
    <m/>
    <m/>
    <x v="6"/>
    <x v="0"/>
    <m/>
    <m/>
    <m/>
    <m/>
    <m/>
    <m/>
  </r>
  <r>
    <x v="0"/>
    <x v="2"/>
    <x v="7"/>
    <m/>
    <n v="825"/>
    <s v="I"/>
    <m/>
    <m/>
    <m/>
    <m/>
    <x v="7"/>
    <x v="0"/>
    <m/>
    <m/>
    <m/>
    <m/>
    <m/>
    <m/>
  </r>
  <r>
    <x v="1"/>
    <x v="0"/>
    <x v="8"/>
    <m/>
    <n v="0"/>
    <s v="I"/>
    <m/>
    <m/>
    <m/>
    <m/>
    <x v="8"/>
    <x v="0"/>
    <m/>
    <m/>
    <m/>
    <m/>
    <m/>
    <m/>
  </r>
  <r>
    <x v="2"/>
    <x v="3"/>
    <x v="9"/>
    <m/>
    <n v="1313"/>
    <s v="I"/>
    <s v="B"/>
    <s v="Dotacións UE-Outros  organismos"/>
    <s v="4º TRIMESTRE"/>
    <m/>
    <x v="9"/>
    <x v="1"/>
    <m/>
    <m/>
    <m/>
    <m/>
    <m/>
    <m/>
  </r>
  <r>
    <x v="3"/>
    <x v="3"/>
    <x v="9"/>
    <m/>
    <n v="400"/>
    <s v="I"/>
    <s v="B"/>
    <s v="Dotacións UE-Outros  organismos"/>
    <s v="4º TRIMESTRE"/>
    <m/>
    <x v="9"/>
    <x v="2"/>
    <m/>
    <m/>
    <m/>
    <m/>
    <m/>
    <m/>
  </r>
  <r>
    <x v="4"/>
    <x v="3"/>
    <x v="9"/>
    <m/>
    <n v="2226"/>
    <s v="I"/>
    <s v="B"/>
    <s v="Dotacións UE-Outros  organismos"/>
    <s v="4º TRIMESTRE"/>
    <m/>
    <x v="9"/>
    <x v="3"/>
    <m/>
    <m/>
    <m/>
    <m/>
    <m/>
    <m/>
  </r>
  <r>
    <x v="5"/>
    <x v="3"/>
    <x v="9"/>
    <m/>
    <n v="400"/>
    <s v="I"/>
    <s v="B"/>
    <s v="Dotacións UE-Outros  organismos"/>
    <s v="4º TRIMESTRE"/>
    <m/>
    <x v="9"/>
    <x v="4"/>
    <m/>
    <m/>
    <m/>
    <m/>
    <m/>
    <m/>
  </r>
  <r>
    <x v="6"/>
    <x v="3"/>
    <x v="9"/>
    <m/>
    <n v="400"/>
    <s v="I"/>
    <s v="B"/>
    <s v="Dotacións UE-Outros  organismos"/>
    <s v="4º TRIMESTRE"/>
    <m/>
    <x v="9"/>
    <x v="5"/>
    <m/>
    <m/>
    <m/>
    <m/>
    <m/>
    <m/>
  </r>
  <r>
    <x v="7"/>
    <x v="4"/>
    <x v="10"/>
    <n v="140"/>
    <m/>
    <s v="G"/>
    <s v="11"/>
    <s v="Gastos diversos"/>
    <s v="4º TRIMESTRE"/>
    <m/>
    <x v="9"/>
    <x v="1"/>
    <m/>
    <m/>
    <m/>
    <m/>
    <m/>
    <m/>
  </r>
  <r>
    <x v="8"/>
    <x v="4"/>
    <x v="10"/>
    <n v="35"/>
    <m/>
    <s v="G"/>
    <s v="11"/>
    <s v="Gastos diversos"/>
    <s v="4º TRIMESTRE"/>
    <m/>
    <x v="9"/>
    <x v="3"/>
    <m/>
    <m/>
    <m/>
    <m/>
    <m/>
    <m/>
  </r>
  <r>
    <x v="9"/>
    <x v="5"/>
    <x v="10"/>
    <n v="175"/>
    <m/>
    <s v="G"/>
    <s v="11"/>
    <s v="Gastos diversos"/>
    <s v="4º TRIMESTRE"/>
    <m/>
    <x v="9"/>
    <x v="3"/>
    <m/>
    <m/>
    <m/>
    <m/>
    <m/>
    <m/>
  </r>
  <r>
    <x v="10"/>
    <x v="5"/>
    <x v="10"/>
    <n v="175"/>
    <m/>
    <s v="G"/>
    <s v="11"/>
    <s v="Gastos diversos"/>
    <s v="4º TRIMESTRE"/>
    <m/>
    <x v="9"/>
    <x v="1"/>
    <m/>
    <m/>
    <m/>
    <m/>
    <m/>
    <m/>
  </r>
  <r>
    <x v="11"/>
    <x v="5"/>
    <x v="10"/>
    <n v="105"/>
    <m/>
    <s v="G"/>
    <s v="11"/>
    <s v="Gastos diversos"/>
    <s v="4º TRIMESTRE"/>
    <m/>
    <x v="9"/>
    <x v="3"/>
    <m/>
    <m/>
    <m/>
    <m/>
    <m/>
    <m/>
  </r>
  <r>
    <x v="12"/>
    <x v="5"/>
    <x v="10"/>
    <n v="400"/>
    <m/>
    <s v="G"/>
    <s v="11"/>
    <s v="Gastos diversos"/>
    <s v="4º TRIMESTRE"/>
    <m/>
    <x v="9"/>
    <x v="2"/>
    <m/>
    <m/>
    <m/>
    <m/>
    <m/>
    <m/>
  </r>
  <r>
    <x v="13"/>
    <x v="5"/>
    <x v="10"/>
    <n v="105"/>
    <m/>
    <s v="G"/>
    <s v="11"/>
    <s v="Gastos diversos"/>
    <s v="4º TRIMESTRE"/>
    <m/>
    <x v="9"/>
    <x v="1"/>
    <m/>
    <m/>
    <m/>
    <m/>
    <m/>
    <m/>
  </r>
  <r>
    <x v="14"/>
    <x v="6"/>
    <x v="11"/>
    <n v="153"/>
    <m/>
    <s v="G"/>
    <s v="11"/>
    <s v="Gastos diversos"/>
    <s v="4º TRIMESTRE"/>
    <m/>
    <x v="9"/>
    <x v="3"/>
    <m/>
    <m/>
    <m/>
    <m/>
    <m/>
    <m/>
  </r>
  <r>
    <x v="15"/>
    <x v="6"/>
    <x v="12"/>
    <n v="120"/>
    <m/>
    <s v="G"/>
    <s v="11"/>
    <s v="Gastos diversos"/>
    <s v="4º TRIMESTRE"/>
    <m/>
    <x v="9"/>
    <x v="3"/>
    <m/>
    <m/>
    <m/>
    <m/>
    <m/>
    <m/>
  </r>
  <r>
    <x v="16"/>
    <x v="7"/>
    <x v="13"/>
    <n v="10.119999999999999"/>
    <m/>
    <s v="G"/>
    <s v="11"/>
    <s v="Gastos diversos"/>
    <s v="1º TRIMESTRE"/>
    <m/>
    <x v="8"/>
    <x v="0"/>
    <m/>
    <m/>
    <m/>
    <m/>
    <m/>
    <m/>
  </r>
  <r>
    <x v="17"/>
    <x v="8"/>
    <x v="14"/>
    <n v="80"/>
    <m/>
    <s v="G"/>
    <s v="11"/>
    <s v="Gastos diversos"/>
    <s v="1º TRIMESTRE"/>
    <m/>
    <x v="9"/>
    <x v="3"/>
    <m/>
    <m/>
    <m/>
    <m/>
    <m/>
    <m/>
  </r>
  <r>
    <x v="18"/>
    <x v="9"/>
    <x v="13"/>
    <n v="8.2200000000000006"/>
    <m/>
    <s v="G"/>
    <s v="11"/>
    <s v="Gastos diversos"/>
    <s v="1º TRIMESTRE"/>
    <m/>
    <x v="8"/>
    <x v="0"/>
    <m/>
    <m/>
    <m/>
    <m/>
    <m/>
    <m/>
  </r>
  <r>
    <x v="19"/>
    <x v="9"/>
    <x v="10"/>
    <n v="105"/>
    <m/>
    <s v="G"/>
    <s v="11"/>
    <s v="Gastos diversos"/>
    <s v="1º TRIMESTRE"/>
    <m/>
    <x v="9"/>
    <x v="1"/>
    <m/>
    <m/>
    <m/>
    <m/>
    <m/>
    <m/>
  </r>
  <r>
    <x v="20"/>
    <x v="9"/>
    <x v="10"/>
    <n v="35"/>
    <m/>
    <s v="G"/>
    <s v="11"/>
    <s v="Gastos diversos"/>
    <s v="1º TRIMESTRE"/>
    <m/>
    <x v="9"/>
    <x v="3"/>
    <m/>
    <m/>
    <m/>
    <m/>
    <m/>
    <m/>
  </r>
  <r>
    <x v="21"/>
    <x v="10"/>
    <x v="15"/>
    <n v="84"/>
    <m/>
    <s v="G"/>
    <s v="11"/>
    <s v="Gastos diversos"/>
    <s v="1º TRIMESTRE"/>
    <m/>
    <x v="8"/>
    <x v="0"/>
    <m/>
    <m/>
    <m/>
    <m/>
    <m/>
    <m/>
  </r>
  <r>
    <x v="22"/>
    <x v="11"/>
    <x v="16"/>
    <n v="232.89"/>
    <m/>
    <s v="G"/>
    <s v="04.6"/>
    <s v="Outras Subministracións"/>
    <s v="1º TRIMESTRE"/>
    <m/>
    <x v="5"/>
    <x v="0"/>
    <m/>
    <m/>
    <m/>
    <m/>
    <m/>
    <m/>
  </r>
  <r>
    <x v="23"/>
    <x v="12"/>
    <x v="17"/>
    <n v="160"/>
    <m/>
    <s v="G"/>
    <s v="11"/>
    <s v="Gastos diversos"/>
    <s v="1º TRIMESTRE"/>
    <m/>
    <x v="9"/>
    <x v="3"/>
    <m/>
    <m/>
    <m/>
    <m/>
    <m/>
    <m/>
  </r>
  <r>
    <x v="24"/>
    <x v="12"/>
    <x v="18"/>
    <n v="400"/>
    <m/>
    <s v="G"/>
    <s v="11"/>
    <s v="Gastos diversos"/>
    <s v="1º TRIMESTRE"/>
    <m/>
    <x v="9"/>
    <x v="5"/>
    <m/>
    <m/>
    <m/>
    <m/>
    <m/>
    <m/>
  </r>
  <r>
    <x v="25"/>
    <x v="13"/>
    <x v="10"/>
    <n v="105"/>
    <m/>
    <s v="G"/>
    <s v="11"/>
    <s v="Gastos diversos"/>
    <s v="1º TRIMESTRE"/>
    <m/>
    <x v="9"/>
    <x v="3"/>
    <m/>
    <m/>
    <m/>
    <m/>
    <m/>
    <m/>
  </r>
  <r>
    <x v="26"/>
    <x v="13"/>
    <x v="10"/>
    <n v="140"/>
    <m/>
    <s v="G"/>
    <s v="11"/>
    <s v="Gastos diversos"/>
    <s v="1º TRIMESTRE"/>
    <m/>
    <x v="9"/>
    <x v="1"/>
    <m/>
    <m/>
    <m/>
    <m/>
    <m/>
    <m/>
  </r>
  <r>
    <x v="27"/>
    <x v="13"/>
    <x v="16"/>
    <n v="347.04"/>
    <m/>
    <s v="G"/>
    <s v="11"/>
    <s v="Gastos diversos"/>
    <s v="1º TRIMESTRE"/>
    <m/>
    <x v="8"/>
    <x v="0"/>
    <m/>
    <m/>
    <m/>
    <m/>
    <m/>
    <m/>
  </r>
  <r>
    <x v="28"/>
    <x v="14"/>
    <x v="19"/>
    <n v="400"/>
    <m/>
    <s v="G"/>
    <s v="11"/>
    <s v="Gastos diversos"/>
    <s v="1º TRIMESTRE"/>
    <m/>
    <x v="9"/>
    <x v="4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  <r>
    <x v="29"/>
    <x v="15"/>
    <x v="20"/>
    <m/>
    <m/>
    <m/>
    <m/>
    <m/>
    <m/>
    <m/>
    <x v="10"/>
    <x v="0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x v="0"/>
    <x v="0"/>
    <x v="0"/>
    <m/>
    <n v="900"/>
    <s v="I"/>
    <m/>
    <m/>
    <m/>
    <m/>
    <x v="0"/>
  </r>
  <r>
    <x v="0"/>
    <x v="0"/>
    <x v="1"/>
    <m/>
    <n v="0"/>
    <s v="I"/>
    <m/>
    <m/>
    <m/>
    <m/>
    <x v="1"/>
  </r>
  <r>
    <x v="0"/>
    <x v="0"/>
    <x v="2"/>
    <m/>
    <n v="553.98"/>
    <s v="I"/>
    <m/>
    <m/>
    <m/>
    <m/>
    <x v="2"/>
  </r>
  <r>
    <x v="0"/>
    <x v="1"/>
    <x v="3"/>
    <m/>
    <n v="0"/>
    <s v="I"/>
    <m/>
    <m/>
    <m/>
    <m/>
    <x v="3"/>
  </r>
  <r>
    <x v="0"/>
    <x v="0"/>
    <x v="4"/>
    <m/>
    <n v="0"/>
    <s v="I"/>
    <m/>
    <m/>
    <m/>
    <m/>
    <x v="4"/>
  </r>
  <r>
    <x v="0"/>
    <x v="0"/>
    <x v="5"/>
    <m/>
    <n v="164.2"/>
    <s v="I"/>
    <m/>
    <m/>
    <m/>
    <m/>
    <x v="5"/>
  </r>
  <r>
    <x v="0"/>
    <x v="0"/>
    <x v="6"/>
    <m/>
    <n v="0"/>
    <s v="I"/>
    <m/>
    <m/>
    <m/>
    <m/>
    <x v="6"/>
  </r>
  <r>
    <x v="0"/>
    <x v="2"/>
    <x v="7"/>
    <m/>
    <n v="825"/>
    <s v="I"/>
    <m/>
    <m/>
    <m/>
    <m/>
    <x v="7"/>
  </r>
  <r>
    <x v="1"/>
    <x v="0"/>
    <x v="8"/>
    <m/>
    <n v="0"/>
    <s v="I"/>
    <m/>
    <m/>
    <m/>
    <m/>
    <x v="8"/>
  </r>
  <r>
    <x v="2"/>
    <x v="3"/>
    <x v="9"/>
    <m/>
    <n v="1313"/>
    <s v="I"/>
    <s v="B"/>
    <s v="Dotacións UE-Outros  organismos"/>
    <s v="4º TRIMESTRE"/>
    <m/>
    <x v="9"/>
  </r>
  <r>
    <x v="3"/>
    <x v="3"/>
    <x v="9"/>
    <m/>
    <n v="400"/>
    <s v="I"/>
    <s v="B"/>
    <s v="Dotacións UE-Outros  organismos"/>
    <s v="4º TRIMESTRE"/>
    <m/>
    <x v="9"/>
  </r>
  <r>
    <x v="4"/>
    <x v="3"/>
    <x v="9"/>
    <m/>
    <n v="2226"/>
    <s v="I"/>
    <s v="B"/>
    <s v="Dotacións UE-Outros  organismos"/>
    <s v="4º TRIMESTRE"/>
    <m/>
    <x v="9"/>
  </r>
  <r>
    <x v="5"/>
    <x v="3"/>
    <x v="9"/>
    <m/>
    <n v="400"/>
    <s v="I"/>
    <s v="B"/>
    <s v="Dotacións UE-Outros  organismos"/>
    <s v="4º TRIMESTRE"/>
    <m/>
    <x v="9"/>
  </r>
  <r>
    <x v="6"/>
    <x v="3"/>
    <x v="9"/>
    <m/>
    <n v="400"/>
    <s v="I"/>
    <s v="B"/>
    <s v="Dotacións UE-Outros  organismos"/>
    <s v="4º TRIMESTRE"/>
    <m/>
    <x v="9"/>
  </r>
  <r>
    <x v="7"/>
    <x v="4"/>
    <x v="10"/>
    <n v="140"/>
    <m/>
    <s v="G"/>
    <s v="11"/>
    <s v="Gastos diversos"/>
    <s v="4º TRIMESTRE"/>
    <m/>
    <x v="9"/>
  </r>
  <r>
    <x v="8"/>
    <x v="4"/>
    <x v="10"/>
    <n v="35"/>
    <m/>
    <s v="G"/>
    <s v="11"/>
    <s v="Gastos diversos"/>
    <s v="4º TRIMESTRE"/>
    <m/>
    <x v="9"/>
  </r>
  <r>
    <x v="9"/>
    <x v="5"/>
    <x v="10"/>
    <n v="175"/>
    <m/>
    <s v="G"/>
    <s v="11"/>
    <s v="Gastos diversos"/>
    <s v="4º TRIMESTRE"/>
    <m/>
    <x v="9"/>
  </r>
  <r>
    <x v="10"/>
    <x v="5"/>
    <x v="10"/>
    <n v="175"/>
    <m/>
    <s v="G"/>
    <s v="11"/>
    <s v="Gastos diversos"/>
    <s v="4º TRIMESTRE"/>
    <m/>
    <x v="9"/>
  </r>
  <r>
    <x v="11"/>
    <x v="5"/>
    <x v="10"/>
    <n v="105"/>
    <m/>
    <s v="G"/>
    <s v="11"/>
    <s v="Gastos diversos"/>
    <s v="4º TRIMESTRE"/>
    <m/>
    <x v="9"/>
  </r>
  <r>
    <x v="12"/>
    <x v="5"/>
    <x v="10"/>
    <n v="400"/>
    <m/>
    <s v="G"/>
    <s v="11"/>
    <s v="Gastos diversos"/>
    <s v="4º TRIMESTRE"/>
    <m/>
    <x v="9"/>
  </r>
  <r>
    <x v="13"/>
    <x v="5"/>
    <x v="10"/>
    <n v="105"/>
    <m/>
    <s v="G"/>
    <s v="11"/>
    <s v="Gastos diversos"/>
    <s v="4º TRIMESTRE"/>
    <m/>
    <x v="9"/>
  </r>
  <r>
    <x v="14"/>
    <x v="6"/>
    <x v="11"/>
    <n v="153"/>
    <m/>
    <s v="G"/>
    <s v="11"/>
    <s v="Gastos diversos"/>
    <s v="4º TRIMESTRE"/>
    <m/>
    <x v="9"/>
  </r>
  <r>
    <x v="15"/>
    <x v="6"/>
    <x v="12"/>
    <n v="120"/>
    <m/>
    <s v="G"/>
    <s v="11"/>
    <s v="Gastos diversos"/>
    <s v="4º TRIMESTRE"/>
    <m/>
    <x v="9"/>
  </r>
  <r>
    <x v="16"/>
    <x v="7"/>
    <x v="13"/>
    <n v="10.119999999999999"/>
    <m/>
    <s v="G"/>
    <s v="11"/>
    <s v="Gastos diversos"/>
    <s v="1º TRIMESTRE"/>
    <m/>
    <x v="8"/>
  </r>
  <r>
    <x v="17"/>
    <x v="8"/>
    <x v="14"/>
    <n v="80"/>
    <m/>
    <s v="G"/>
    <s v="11"/>
    <s v="Gastos diversos"/>
    <s v="1º TRIMESTRE"/>
    <m/>
    <x v="9"/>
  </r>
  <r>
    <x v="18"/>
    <x v="9"/>
    <x v="13"/>
    <n v="8.2200000000000006"/>
    <m/>
    <s v="G"/>
    <s v="11"/>
    <s v="Gastos diversos"/>
    <s v="1º TRIMESTRE"/>
    <m/>
    <x v="8"/>
  </r>
  <r>
    <x v="19"/>
    <x v="9"/>
    <x v="10"/>
    <n v="105"/>
    <m/>
    <s v="G"/>
    <s v="11"/>
    <s v="Gastos diversos"/>
    <s v="1º TRIMESTRE"/>
    <m/>
    <x v="9"/>
  </r>
  <r>
    <x v="20"/>
    <x v="9"/>
    <x v="10"/>
    <n v="35"/>
    <m/>
    <s v="G"/>
    <s v="11"/>
    <s v="Gastos diversos"/>
    <s v="1º TRIMESTRE"/>
    <m/>
    <x v="9"/>
  </r>
  <r>
    <x v="21"/>
    <x v="10"/>
    <x v="15"/>
    <n v="84"/>
    <m/>
    <s v="G"/>
    <s v="11"/>
    <s v="Gastos diversos"/>
    <s v="1º TRIMESTRE"/>
    <m/>
    <x v="8"/>
  </r>
  <r>
    <x v="22"/>
    <x v="11"/>
    <x v="16"/>
    <n v="232.89"/>
    <m/>
    <s v="G"/>
    <s v="04.6"/>
    <s v="Outras Subministracións"/>
    <s v="1º TRIMESTRE"/>
    <m/>
    <x v="5"/>
  </r>
  <r>
    <x v="23"/>
    <x v="12"/>
    <x v="17"/>
    <n v="160"/>
    <m/>
    <s v="G"/>
    <s v="11"/>
    <s v="Gastos diversos"/>
    <s v="1º TRIMESTRE"/>
    <m/>
    <x v="9"/>
  </r>
  <r>
    <x v="24"/>
    <x v="12"/>
    <x v="18"/>
    <n v="400"/>
    <m/>
    <s v="G"/>
    <s v="11"/>
    <s v="Gastos diversos"/>
    <s v="1º TRIMESTRE"/>
    <m/>
    <x v="9"/>
  </r>
  <r>
    <x v="25"/>
    <x v="13"/>
    <x v="10"/>
    <n v="105"/>
    <m/>
    <s v="G"/>
    <s v="11"/>
    <s v="Gastos diversos"/>
    <s v="1º TRIMESTRE"/>
    <m/>
    <x v="9"/>
  </r>
  <r>
    <x v="26"/>
    <x v="13"/>
    <x v="10"/>
    <n v="140"/>
    <m/>
    <s v="G"/>
    <s v="11"/>
    <s v="Gastos diversos"/>
    <s v="1º TRIMESTRE"/>
    <m/>
    <x v="9"/>
  </r>
  <r>
    <x v="27"/>
    <x v="13"/>
    <x v="16"/>
    <n v="347.04"/>
    <m/>
    <s v="G"/>
    <s v="11"/>
    <s v="Gastos diversos"/>
    <s v="1º TRIMESTRE"/>
    <m/>
    <x v="8"/>
  </r>
  <r>
    <x v="28"/>
    <x v="14"/>
    <x v="19"/>
    <n v="400"/>
    <m/>
    <s v="G"/>
    <s v="11"/>
    <s v="Gastos diversos"/>
    <s v="1º TRIMESTRE"/>
    <m/>
    <x v="9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  <r>
    <x v="29"/>
    <x v="15"/>
    <x v="20"/>
    <m/>
    <m/>
    <m/>
    <m/>
    <m/>
    <m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2" cacheId="14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8" indent="0" showHeaders="0" compact="0" compactData="0" multipleFieldFilters="0">
  <location ref="A2:F51" firstHeaderRow="0" firstDataRow="1" firstDataCol="4"/>
  <pivotFields count="11">
    <pivotField axis="axisRow" compact="0" outline="0" subtotalTop="0" showAll="0" defaultSubtotal="0">
      <items count="150">
        <item x="0"/>
        <item m="1" x="58"/>
        <item m="1" x="86"/>
        <item x="16"/>
        <item m="1" x="109"/>
        <item m="1" x="85"/>
        <item m="1" x="55"/>
        <item m="1" x="30"/>
        <item m="1" x="130"/>
        <item m="1" x="54"/>
        <item m="1" x="108"/>
        <item x="17"/>
        <item m="1" x="84"/>
        <item m="1" x="129"/>
        <item x="18"/>
        <item m="1" x="107"/>
        <item x="19"/>
        <item x="20"/>
        <item m="1" x="83"/>
        <item m="1" x="42"/>
        <item x="21"/>
        <item m="1" x="96"/>
        <item x="22"/>
        <item m="1" x="139"/>
        <item m="1" x="106"/>
        <item m="1" x="69"/>
        <item m="1" x="149"/>
        <item m="1" x="118"/>
        <item x="23"/>
        <item x="24"/>
        <item m="1" x="128"/>
        <item m="1" x="95"/>
        <item m="1" x="53"/>
        <item x="25"/>
        <item x="26"/>
        <item m="1" x="124"/>
        <item m="1" x="105"/>
        <item m="1" x="90"/>
        <item m="1" x="68"/>
        <item m="1" x="46"/>
        <item x="27"/>
        <item m="1" x="134"/>
        <item m="1" x="117"/>
        <item m="1" x="101"/>
        <item m="1" x="81"/>
        <item m="1" x="61"/>
        <item x="28"/>
        <item m="1" x="144"/>
        <item m="1" x="127"/>
        <item m="1" x="113"/>
        <item m="1" x="94"/>
        <item m="1" x="76"/>
        <item m="1" x="52"/>
        <item m="1" x="36"/>
        <item m="1" x="138"/>
        <item m="1" x="123"/>
        <item m="1" x="104"/>
        <item m="1" x="89"/>
        <item m="1" x="67"/>
        <item m="1" x="45"/>
        <item m="1" x="148"/>
        <item m="1" x="133"/>
        <item m="1" x="116"/>
        <item m="1" x="100"/>
        <item m="1" x="80"/>
        <item m="1" x="73"/>
        <item m="1" x="60"/>
        <item m="1" x="49"/>
        <item m="1" x="41"/>
        <item m="1" x="32"/>
        <item m="1" x="143"/>
        <item m="1" x="136"/>
        <item m="1" x="126"/>
        <item m="1" x="120"/>
        <item m="1" x="112"/>
        <item m="1" x="102"/>
        <item m="1" x="93"/>
        <item m="1" x="87"/>
        <item m="1" x="75"/>
        <item m="1" x="63"/>
        <item m="1" x="51"/>
        <item m="1" x="43"/>
        <item m="1" x="35"/>
        <item m="1" x="146"/>
        <item m="1" x="137"/>
        <item m="1" x="131"/>
        <item m="1" x="122"/>
        <item m="1" x="114"/>
        <item m="1" x="103"/>
        <item m="1" x="98"/>
        <item m="1" x="88"/>
        <item m="1" x="77"/>
        <item m="1" x="66"/>
        <item m="1" x="57"/>
        <item m="1" x="44"/>
        <item m="1" x="38"/>
        <item m="1" x="147"/>
        <item m="1" x="141"/>
        <item m="1" x="132"/>
        <item m="1" x="125"/>
        <item m="1" x="115"/>
        <item m="1" x="110"/>
        <item m="1" x="99"/>
        <item m="1" x="92"/>
        <item m="1" x="79"/>
        <item m="1" x="72"/>
        <item m="1" x="59"/>
        <item m="1" x="48"/>
        <item m="1" x="40"/>
        <item m="1" x="31"/>
        <item m="1" x="142"/>
        <item x="29"/>
        <item m="1" x="135"/>
        <item m="1" x="111"/>
        <item m="1" x="145"/>
        <item m="1" x="140"/>
        <item x="2"/>
        <item x="3"/>
        <item x="4"/>
        <item m="1" x="91"/>
        <item x="6"/>
        <item m="1" x="71"/>
        <item m="1" x="64"/>
        <item x="7"/>
        <item x="8"/>
        <item m="1" x="97"/>
        <item m="1" x="39"/>
        <item m="1" x="119"/>
        <item m="1" x="78"/>
        <item m="1" x="74"/>
        <item m="1" x="70"/>
        <item m="1" x="47"/>
        <item m="1" x="34"/>
        <item x="9"/>
        <item x="10"/>
        <item x="11"/>
        <item x="12"/>
        <item x="13"/>
        <item m="1" x="121"/>
        <item m="1" x="82"/>
        <item m="1" x="65"/>
        <item m="1" x="62"/>
        <item m="1" x="56"/>
        <item m="1" x="50"/>
        <item x="14"/>
        <item x="15"/>
        <item m="1" x="37"/>
        <item x="5"/>
        <item x="1"/>
        <item m="1" x="33"/>
      </items>
    </pivotField>
    <pivotField axis="axisRow" compact="0" outline="0" subtotalTop="0" showAll="0" defaultSubtotal="0">
      <items count="48">
        <item sd="0" x="15"/>
        <item m="1" x="17"/>
        <item m="1" x="32"/>
        <item m="1" x="18"/>
        <item m="1" x="42"/>
        <item m="1" x="22"/>
        <item m="1" x="35"/>
        <item m="1" x="39"/>
        <item m="1" x="28"/>
        <item m="1" x="41"/>
        <item m="1" x="34"/>
        <item m="1" x="38"/>
        <item m="1" x="21"/>
        <item m="1" x="45"/>
        <item m="1" x="23"/>
        <item m="1" x="40"/>
        <item m="1" x="29"/>
        <item m="1" x="47"/>
        <item x="3"/>
        <item x="4"/>
        <item m="1" x="44"/>
        <item m="1" x="19"/>
        <item m="1" x="26"/>
        <item m="1" x="37"/>
        <item m="1" x="36"/>
        <item m="1" x="30"/>
        <item x="5"/>
        <item m="1" x="20"/>
        <item m="1" x="16"/>
        <item x="6"/>
        <item m="1" x="25"/>
        <item m="1" x="27"/>
        <item m="1" x="43"/>
        <item m="1" x="24"/>
        <item m="1" x="33"/>
        <item m="1" x="31"/>
        <item x="1"/>
        <item m="1" x="46"/>
        <item x="7"/>
        <item x="0"/>
        <item x="8"/>
        <item x="9"/>
        <item x="10"/>
        <item x="2"/>
        <item x="11"/>
        <item x="12"/>
        <item x="13"/>
        <item x="14"/>
      </items>
    </pivotField>
    <pivotField axis="axisRow" compact="0" outline="0" subtotalTop="0" showAll="0">
      <items count="109">
        <item m="1" x="87"/>
        <item m="1" x="65"/>
        <item m="1" x="55"/>
        <item m="1" x="45"/>
        <item m="1" x="63"/>
        <item m="1" x="23"/>
        <item x="13"/>
        <item m="1" x="43"/>
        <item m="1" x="32"/>
        <item m="1" x="21"/>
        <item m="1" x="95"/>
        <item m="1" x="70"/>
        <item m="1" x="66"/>
        <item m="1" x="97"/>
        <item m="1" x="35"/>
        <item m="1" x="51"/>
        <item m="1" x="52"/>
        <item m="1" x="92"/>
        <item m="1" x="54"/>
        <item m="1" x="39"/>
        <item m="1" x="84"/>
        <item m="1" x="89"/>
        <item m="1" x="22"/>
        <item m="1" x="69"/>
        <item m="1" x="101"/>
        <item m="1" x="44"/>
        <item m="1" x="56"/>
        <item m="1" x="90"/>
        <item m="1" x="99"/>
        <item m="1" x="62"/>
        <item m="1" x="85"/>
        <item m="1" x="26"/>
        <item m="1" x="100"/>
        <item m="1" x="73"/>
        <item m="1" x="74"/>
        <item m="1" x="75"/>
        <item m="1" x="76"/>
        <item m="1" x="77"/>
        <item m="1" x="78"/>
        <item m="1" x="105"/>
        <item m="1" x="67"/>
        <item m="1" x="79"/>
        <item m="1" x="80"/>
        <item m="1" x="81"/>
        <item m="1" x="82"/>
        <item m="1" x="83"/>
        <item m="1" x="46"/>
        <item m="1" x="64"/>
        <item x="18"/>
        <item m="1" x="94"/>
        <item m="1" x="104"/>
        <item m="1" x="72"/>
        <item m="1" x="28"/>
        <item m="1" x="58"/>
        <item x="10"/>
        <item m="1" x="24"/>
        <item m="1" x="30"/>
        <item m="1" x="31"/>
        <item m="1" x="61"/>
        <item m="1" x="33"/>
        <item m="1" x="88"/>
        <item m="1" x="57"/>
        <item m="1" x="53"/>
        <item m="1" x="40"/>
        <item m="1" x="91"/>
        <item m="1" x="60"/>
        <item m="1" x="29"/>
        <item x="16"/>
        <item m="1" x="41"/>
        <item m="1" x="37"/>
        <item m="1" x="107"/>
        <item m="1" x="106"/>
        <item x="20"/>
        <item x="9"/>
        <item m="1" x="86"/>
        <item m="1" x="93"/>
        <item m="1" x="102"/>
        <item x="3"/>
        <item m="1" x="42"/>
        <item m="1" x="50"/>
        <item m="1" x="49"/>
        <item x="6"/>
        <item x="4"/>
        <item x="1"/>
        <item x="5"/>
        <item m="1" x="34"/>
        <item m="1" x="59"/>
        <item m="1" x="27"/>
        <item m="1" x="98"/>
        <item m="1" x="68"/>
        <item m="1" x="47"/>
        <item m="1" x="103"/>
        <item m="1" x="25"/>
        <item m="1" x="71"/>
        <item m="1" x="38"/>
        <item x="14"/>
        <item m="1" x="48"/>
        <item m="1" x="96"/>
        <item m="1" x="36"/>
        <item x="8"/>
        <item x="0"/>
        <item x="2"/>
        <item x="11"/>
        <item x="12"/>
        <item x="15"/>
        <item x="7"/>
        <item x="17"/>
        <item x="19"/>
        <item t="default"/>
      </items>
    </pivotField>
    <pivotField dataField="1"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1">
        <item m="1" x="11"/>
        <item m="1" x="17"/>
        <item x="9"/>
        <item m="1" x="12"/>
        <item m="1" x="18"/>
        <item m="1" x="13"/>
        <item x="8"/>
        <item m="1" x="15"/>
        <item x="10"/>
        <item m="1" x="19"/>
        <item x="0"/>
        <item x="3"/>
        <item x="2"/>
        <item x="6"/>
        <item x="4"/>
        <item m="1" x="16"/>
        <item x="5"/>
        <item x="1"/>
        <item m="1" x="14"/>
        <item x="7"/>
        <item t="default"/>
      </items>
    </pivotField>
  </pivotFields>
  <rowFields count="4">
    <field x="10"/>
    <field x="0"/>
    <field x="1"/>
    <field x="2"/>
  </rowFields>
  <rowItems count="49">
    <i>
      <x v="2"/>
      <x v="11"/>
      <x v="40"/>
      <x v="95"/>
    </i>
    <i r="1">
      <x v="16"/>
      <x v="41"/>
      <x v="54"/>
    </i>
    <i r="1">
      <x v="17"/>
      <x v="41"/>
      <x v="54"/>
    </i>
    <i r="1">
      <x v="28"/>
      <x v="45"/>
      <x v="106"/>
    </i>
    <i r="1">
      <x v="29"/>
      <x v="45"/>
      <x v="48"/>
    </i>
    <i r="1">
      <x v="33"/>
      <x v="46"/>
      <x v="54"/>
    </i>
    <i r="1">
      <x v="34"/>
      <x v="46"/>
      <x v="54"/>
    </i>
    <i r="1">
      <x v="46"/>
      <x v="47"/>
      <x v="107"/>
    </i>
    <i r="1">
      <x v="116"/>
      <x v="18"/>
      <x v="73"/>
    </i>
    <i r="1">
      <x v="117"/>
      <x v="18"/>
      <x v="73"/>
    </i>
    <i r="1">
      <x v="118"/>
      <x v="18"/>
      <x v="73"/>
    </i>
    <i r="1">
      <x v="120"/>
      <x v="18"/>
      <x v="73"/>
    </i>
    <i r="1">
      <x v="123"/>
      <x v="19"/>
      <x v="54"/>
    </i>
    <i r="1">
      <x v="124"/>
      <x v="19"/>
      <x v="54"/>
    </i>
    <i r="1">
      <x v="133"/>
      <x v="26"/>
      <x v="54"/>
    </i>
    <i r="1">
      <x v="134"/>
      <x v="26"/>
      <x v="54"/>
    </i>
    <i r="1">
      <x v="135"/>
      <x v="26"/>
      <x v="54"/>
    </i>
    <i r="1">
      <x v="136"/>
      <x v="26"/>
      <x v="54"/>
    </i>
    <i r="1">
      <x v="137"/>
      <x v="26"/>
      <x v="54"/>
    </i>
    <i r="1">
      <x v="144"/>
      <x v="29"/>
      <x v="102"/>
    </i>
    <i r="1">
      <x v="145"/>
      <x v="29"/>
      <x v="103"/>
    </i>
    <i r="1">
      <x v="147"/>
      <x v="18"/>
      <x v="73"/>
    </i>
    <i t="default">
      <x v="2"/>
    </i>
    <i>
      <x v="6"/>
      <x v="3"/>
      <x v="38"/>
      <x v="6"/>
    </i>
    <i r="1">
      <x v="14"/>
      <x v="41"/>
      <x v="6"/>
    </i>
    <i r="1">
      <x v="20"/>
      <x v="42"/>
      <x v="104"/>
    </i>
    <i r="1">
      <x v="40"/>
      <x v="46"/>
      <x v="67"/>
    </i>
    <i r="1">
      <x v="148"/>
      <x v="39"/>
      <x v="99"/>
    </i>
    <i t="default">
      <x v="6"/>
    </i>
    <i>
      <x v="8"/>
      <x v="111"/>
      <x/>
    </i>
    <i t="default">
      <x v="8"/>
    </i>
    <i>
      <x v="10"/>
      <x/>
      <x v="39"/>
      <x v="100"/>
    </i>
    <i t="default">
      <x v="10"/>
    </i>
    <i>
      <x v="11"/>
      <x/>
      <x v="36"/>
      <x v="77"/>
    </i>
    <i t="default">
      <x v="11"/>
    </i>
    <i>
      <x v="12"/>
      <x/>
      <x v="39"/>
      <x v="101"/>
    </i>
    <i t="default">
      <x v="12"/>
    </i>
    <i>
      <x v="13"/>
      <x/>
      <x v="39"/>
      <x v="81"/>
    </i>
    <i t="default">
      <x v="13"/>
    </i>
    <i>
      <x v="14"/>
      <x/>
      <x v="39"/>
      <x v="82"/>
    </i>
    <i t="default">
      <x v="14"/>
    </i>
    <i>
      <x v="16"/>
      <x/>
      <x v="39"/>
      <x v="84"/>
    </i>
    <i r="1">
      <x v="22"/>
      <x v="44"/>
      <x v="67"/>
    </i>
    <i t="default">
      <x v="16"/>
    </i>
    <i>
      <x v="17"/>
      <x/>
      <x v="39"/>
      <x v="83"/>
    </i>
    <i t="default">
      <x v="17"/>
    </i>
    <i>
      <x v="19"/>
      <x/>
      <x v="43"/>
      <x v="105"/>
    </i>
    <i t="default"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DEBE" fld="3" baseField="10" baseItem="0"/>
    <dataField name="Suma de HABER" fld="4" baseField="0" baseItem="0"/>
  </dataFields>
  <formats count="31">
    <format dxfId="109">
      <pivotArea outline="0" fieldPosition="0">
        <references count="2">
          <reference field="4294967294" count="1" selected="0">
            <x v="0"/>
          </reference>
          <reference field="10" count="1" selected="0" defaultSubtotal="1">
            <x v="3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dataOnly="0" labelOnly="1" outline="0" fieldPosition="0">
        <references count="1">
          <reference field="10" count="0"/>
        </references>
      </pivotArea>
    </format>
    <format dxfId="105">
      <pivotArea dataOnly="0" labelOnly="1" outline="0" fieldPosition="0">
        <references count="1">
          <reference field="10" count="0" defaultSubtotal="1"/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2">
          <reference field="0" count="18">
            <x v="0"/>
            <x v="5"/>
            <x v="6"/>
            <x v="30"/>
            <x v="31"/>
            <x v="38"/>
            <x v="39"/>
            <x v="40"/>
            <x v="56"/>
            <x v="57"/>
            <x v="66"/>
            <x v="67"/>
            <x v="89"/>
            <x v="90"/>
            <x v="91"/>
            <x v="92"/>
            <x v="93"/>
            <x v="94"/>
          </reference>
          <reference field="10" count="1" selected="0">
            <x v="2"/>
          </reference>
        </references>
      </pivotArea>
    </format>
    <format dxfId="102">
      <pivotArea dataOnly="0" labelOnly="1" outline="0" fieldPosition="0">
        <references count="2">
          <reference field="0" count="12">
            <x v="0"/>
            <x v="15"/>
            <x v="16"/>
            <x v="32"/>
            <x v="44"/>
            <x v="73"/>
            <x v="80"/>
            <x v="85"/>
            <x v="86"/>
            <x v="87"/>
            <x v="101"/>
            <x v="102"/>
          </reference>
          <reference field="10" count="1" selected="0">
            <x v="6"/>
          </reference>
        </references>
      </pivotArea>
    </format>
    <format dxfId="101">
      <pivotArea dataOnly="0" labelOnly="1" outline="0" fieldPosition="0">
        <references count="2">
          <reference field="0" count="1">
            <x v="111"/>
          </reference>
          <reference field="10" count="1" selected="0">
            <x v="8"/>
          </reference>
        </references>
      </pivotArea>
    </format>
    <format dxfId="100">
      <pivotArea dataOnly="0" labelOnly="1" outline="0" fieldPosition="0">
        <references count="2">
          <reference field="0" count="4">
            <x v="0"/>
            <x v="63"/>
            <x v="97"/>
            <x v="98"/>
          </reference>
          <reference field="10" count="1" selected="0">
            <x v="10"/>
          </reference>
        </references>
      </pivotArea>
    </format>
    <format dxfId="99">
      <pivotArea dataOnly="0" labelOnly="1" outline="0" fieldPosition="0">
        <references count="2">
          <reference field="0" count="2">
            <x v="0"/>
            <x v="49"/>
          </reference>
          <reference field="10" count="1" selected="0">
            <x v="11"/>
          </reference>
        </references>
      </pivotArea>
    </format>
    <format dxfId="98">
      <pivotArea dataOnly="0" labelOnly="1" outline="0" fieldPosition="0">
        <references count="2">
          <reference field="0" count="1">
            <x v="0"/>
          </reference>
          <reference field="10" count="1" selected="0">
            <x v="12"/>
          </reference>
        </references>
      </pivotArea>
    </format>
    <format dxfId="97">
      <pivotArea dataOnly="0" labelOnly="1" outline="0" fieldPosition="0">
        <references count="3">
          <reference field="0" count="1" selected="0">
            <x v="0"/>
          </reference>
          <reference field="1" count="4">
            <x v="1"/>
            <x v="2"/>
            <x v="3"/>
            <x v="4"/>
          </reference>
          <reference field="10" count="1" selected="0">
            <x v="2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0"/>
          </reference>
          <reference field="1" count="5">
            <x v="7"/>
            <x v="8"/>
            <x v="9"/>
            <x v="10"/>
            <x v="11"/>
          </reference>
          <reference field="10" count="1" selected="0">
            <x v="6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111"/>
          </reference>
          <reference field="1" count="1">
            <x v="0"/>
          </reference>
          <reference field="10" count="1" selected="0">
            <x v="8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0"/>
          </reference>
          <reference field="1" count="1">
            <x v="5"/>
          </reference>
          <reference field="10" count="1" selected="0">
            <x v="10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0"/>
          </reference>
          <reference field="1" count="1">
            <x v="5"/>
          </reference>
          <reference field="10" count="1" selected="0">
            <x v="11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0"/>
          </reference>
          <reference field="1" count="1">
            <x v="6"/>
          </reference>
          <reference field="10" count="1" selected="0">
            <x v="12"/>
          </reference>
        </references>
      </pivotArea>
    </format>
    <format dxfId="9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"/>
          </reference>
          <reference field="2" count="1">
            <x v="73"/>
          </reference>
          <reference field="10" count="1" selected="0">
            <x v="2"/>
          </reference>
        </references>
      </pivotArea>
    </format>
    <format dxfId="9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"/>
          </reference>
          <reference field="2" count="1">
            <x v="54"/>
          </reference>
          <reference field="10" count="1" selected="0">
            <x v="2"/>
          </reference>
        </references>
      </pivotArea>
    </format>
    <format dxfId="8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"/>
          </reference>
          <reference field="2" count="2">
            <x v="48"/>
            <x v="54"/>
          </reference>
          <reference field="10" count="1" selected="0">
            <x v="2"/>
          </reference>
        </references>
      </pivotArea>
    </format>
    <format dxfId="8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"/>
          </reference>
          <reference field="2" count="1">
            <x v="74"/>
          </reference>
          <reference field="10" count="1" selected="0">
            <x v="2"/>
          </reference>
        </references>
      </pivotArea>
    </format>
    <format dxfId="8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"/>
          </reference>
          <reference field="2" count="1">
            <x v="78"/>
          </reference>
          <reference field="10" count="1" selected="0">
            <x v="6"/>
          </reference>
        </references>
      </pivotArea>
    </format>
    <format dxfId="8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"/>
          </reference>
          <reference field="2" count="1">
            <x v="78"/>
          </reference>
          <reference field="10" count="1" selected="0">
            <x v="6"/>
          </reference>
        </references>
      </pivotArea>
    </format>
    <format dxfId="8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"/>
          </reference>
          <reference field="2" count="1">
            <x v="78"/>
          </reference>
          <reference field="10" count="1" selected="0">
            <x v="6"/>
          </reference>
        </references>
      </pivotArea>
    </format>
    <format dxfId="8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"/>
          </reference>
          <reference field="2" count="1">
            <x v="78"/>
          </reference>
          <reference field="10" count="1" selected="0">
            <x v="6"/>
          </reference>
        </references>
      </pivotArea>
    </format>
    <format dxfId="8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"/>
          </reference>
          <reference field="2" count="1">
            <x v="78"/>
          </reference>
          <reference field="10" count="1" selected="0">
            <x v="6"/>
          </reference>
        </references>
      </pivotArea>
    </format>
    <format dxfId="8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"/>
          </reference>
          <reference field="2" count="1">
            <x v="75"/>
          </reference>
          <reference field="10" count="1" selected="0">
            <x v="10"/>
          </reference>
        </references>
      </pivotArea>
    </format>
    <format dxfId="8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"/>
          </reference>
          <reference field="2" count="1">
            <x v="77"/>
          </reference>
          <reference field="10" count="1" selected="0">
            <x v="11"/>
          </reference>
        </references>
      </pivotArea>
    </format>
    <format dxfId="8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"/>
          </reference>
          <reference field="2" count="1">
            <x v="76"/>
          </reference>
          <reference field="10" count="1" selected="0">
            <x v="12"/>
          </reference>
        </references>
      </pivotArea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3" cacheId="8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8" indent="0" compact="0" compactData="0" multipleFieldFilters="0">
  <location ref="A2:G31" firstHeaderRow="0" firstDataRow="1" firstDataCol="5"/>
  <pivotFields count="18">
    <pivotField axis="axisRow" compact="0" outline="0" subtotalTop="0" showAll="0" defaultSubtotal="0">
      <items count="150">
        <item x="0"/>
        <item m="1" x="58"/>
        <item m="1" x="86"/>
        <item x="16"/>
        <item m="1" x="109"/>
        <item m="1" x="85"/>
        <item m="1" x="55"/>
        <item m="1" x="30"/>
        <item m="1" x="130"/>
        <item m="1" x="54"/>
        <item m="1" x="108"/>
        <item x="17"/>
        <item m="1" x="84"/>
        <item m="1" x="129"/>
        <item x="18"/>
        <item m="1" x="107"/>
        <item x="19"/>
        <item x="20"/>
        <item m="1" x="83"/>
        <item m="1" x="42"/>
        <item x="21"/>
        <item m="1" x="96"/>
        <item x="22"/>
        <item m="1" x="139"/>
        <item m="1" x="106"/>
        <item m="1" x="69"/>
        <item m="1" x="149"/>
        <item m="1" x="118"/>
        <item x="23"/>
        <item x="24"/>
        <item m="1" x="128"/>
        <item m="1" x="95"/>
        <item m="1" x="53"/>
        <item x="25"/>
        <item x="26"/>
        <item m="1" x="124"/>
        <item m="1" x="105"/>
        <item m="1" x="90"/>
        <item m="1" x="68"/>
        <item m="1" x="46"/>
        <item x="27"/>
        <item m="1" x="134"/>
        <item m="1" x="117"/>
        <item m="1" x="101"/>
        <item m="1" x="81"/>
        <item m="1" x="61"/>
        <item x="28"/>
        <item m="1" x="144"/>
        <item m="1" x="127"/>
        <item m="1" x="113"/>
        <item m="1" x="94"/>
        <item m="1" x="76"/>
        <item m="1" x="52"/>
        <item m="1" x="36"/>
        <item m="1" x="138"/>
        <item m="1" x="123"/>
        <item m="1" x="104"/>
        <item m="1" x="89"/>
        <item m="1" x="67"/>
        <item m="1" x="45"/>
        <item m="1" x="148"/>
        <item m="1" x="133"/>
        <item m="1" x="116"/>
        <item m="1" x="100"/>
        <item m="1" x="80"/>
        <item m="1" x="73"/>
        <item m="1" x="60"/>
        <item m="1" x="49"/>
        <item m="1" x="41"/>
        <item m="1" x="32"/>
        <item m="1" x="143"/>
        <item m="1" x="136"/>
        <item m="1" x="126"/>
        <item m="1" x="120"/>
        <item m="1" x="112"/>
        <item m="1" x="102"/>
        <item m="1" x="93"/>
        <item m="1" x="87"/>
        <item m="1" x="75"/>
        <item m="1" x="63"/>
        <item m="1" x="51"/>
        <item m="1" x="43"/>
        <item m="1" x="35"/>
        <item m="1" x="146"/>
        <item m="1" x="137"/>
        <item m="1" x="131"/>
        <item m="1" x="122"/>
        <item m="1" x="114"/>
        <item m="1" x="103"/>
        <item m="1" x="98"/>
        <item m="1" x="88"/>
        <item m="1" x="77"/>
        <item m="1" x="66"/>
        <item m="1" x="57"/>
        <item m="1" x="44"/>
        <item m="1" x="38"/>
        <item m="1" x="147"/>
        <item m="1" x="141"/>
        <item m="1" x="132"/>
        <item m="1" x="125"/>
        <item m="1" x="115"/>
        <item m="1" x="110"/>
        <item m="1" x="99"/>
        <item m="1" x="92"/>
        <item m="1" x="79"/>
        <item m="1" x="72"/>
        <item m="1" x="59"/>
        <item m="1" x="48"/>
        <item m="1" x="40"/>
        <item m="1" x="31"/>
        <item m="1" x="142"/>
        <item m="1" x="135"/>
        <item x="29"/>
        <item m="1" x="111"/>
        <item m="1" x="145"/>
        <item m="1" x="140"/>
        <item x="2"/>
        <item x="3"/>
        <item x="4"/>
        <item m="1" x="91"/>
        <item x="6"/>
        <item m="1" x="71"/>
        <item m="1" x="64"/>
        <item x="7"/>
        <item x="8"/>
        <item m="1" x="97"/>
        <item m="1" x="39"/>
        <item m="1" x="119"/>
        <item m="1" x="78"/>
        <item m="1" x="74"/>
        <item m="1" x="70"/>
        <item m="1" x="47"/>
        <item m="1" x="34"/>
        <item x="9"/>
        <item x="10"/>
        <item x="11"/>
        <item x="12"/>
        <item x="13"/>
        <item m="1" x="121"/>
        <item m="1" x="82"/>
        <item m="1" x="65"/>
        <item m="1" x="62"/>
        <item m="1" x="56"/>
        <item m="1" x="50"/>
        <item x="14"/>
        <item x="15"/>
        <item m="1" x="37"/>
        <item x="5"/>
        <item x="1"/>
        <item m="1" x="33"/>
      </items>
    </pivotField>
    <pivotField axis="axisRow" compact="0" outline="0" subtotalTop="0" showAll="0" defaultSubtotal="0">
      <items count="48">
        <item x="15"/>
        <item m="1" x="17"/>
        <item m="1" x="32"/>
        <item m="1" x="18"/>
        <item m="1" x="42"/>
        <item m="1" x="22"/>
        <item m="1" x="35"/>
        <item m="1" x="39"/>
        <item m="1" x="28"/>
        <item m="1" x="41"/>
        <item m="1" x="34"/>
        <item m="1" x="38"/>
        <item m="1" x="21"/>
        <item m="1" x="45"/>
        <item m="1" x="23"/>
        <item m="1" x="40"/>
        <item m="1" x="29"/>
        <item m="1" x="47"/>
        <item x="3"/>
        <item x="4"/>
        <item m="1" x="44"/>
        <item m="1" x="19"/>
        <item m="1" x="26"/>
        <item m="1" x="37"/>
        <item m="1" x="36"/>
        <item m="1" x="30"/>
        <item x="5"/>
        <item m="1" x="20"/>
        <item m="1" x="16"/>
        <item x="6"/>
        <item m="1" x="25"/>
        <item m="1" x="27"/>
        <item m="1" x="43"/>
        <item m="1" x="24"/>
        <item m="1" x="33"/>
        <item m="1" x="31"/>
        <item x="1"/>
        <item m="1" x="46"/>
        <item x="7"/>
        <item x="0"/>
        <item x="8"/>
        <item x="9"/>
        <item x="10"/>
        <item x="2"/>
        <item x="11"/>
        <item x="12"/>
        <item x="13"/>
        <item x="14"/>
      </items>
    </pivotField>
    <pivotField axis="axisRow" compact="0" outline="0" subtotalTop="0" showAll="0">
      <items count="109">
        <item m="1" x="87"/>
        <item m="1" x="65"/>
        <item m="1" x="55"/>
        <item m="1" x="45"/>
        <item m="1" x="63"/>
        <item m="1" x="23"/>
        <item x="13"/>
        <item m="1" x="43"/>
        <item m="1" x="32"/>
        <item m="1" x="21"/>
        <item m="1" x="95"/>
        <item m="1" x="70"/>
        <item m="1" x="66"/>
        <item m="1" x="97"/>
        <item m="1" x="35"/>
        <item m="1" x="51"/>
        <item m="1" x="52"/>
        <item m="1" x="92"/>
        <item m="1" x="54"/>
        <item m="1" x="39"/>
        <item m="1" x="84"/>
        <item m="1" x="89"/>
        <item m="1" x="22"/>
        <item m="1" x="69"/>
        <item m="1" x="101"/>
        <item m="1" x="44"/>
        <item m="1" x="56"/>
        <item m="1" x="90"/>
        <item m="1" x="99"/>
        <item m="1" x="62"/>
        <item m="1" x="85"/>
        <item m="1" x="26"/>
        <item m="1" x="100"/>
        <item m="1" x="73"/>
        <item m="1" x="74"/>
        <item m="1" x="75"/>
        <item m="1" x="76"/>
        <item m="1" x="77"/>
        <item m="1" x="78"/>
        <item m="1" x="105"/>
        <item m="1" x="67"/>
        <item m="1" x="79"/>
        <item m="1" x="80"/>
        <item m="1" x="81"/>
        <item m="1" x="82"/>
        <item m="1" x="83"/>
        <item m="1" x="46"/>
        <item m="1" x="64"/>
        <item x="18"/>
        <item m="1" x="94"/>
        <item m="1" x="104"/>
        <item m="1" x="72"/>
        <item m="1" x="28"/>
        <item m="1" x="58"/>
        <item x="10"/>
        <item m="1" x="24"/>
        <item m="1" x="30"/>
        <item m="1" x="31"/>
        <item m="1" x="61"/>
        <item m="1" x="33"/>
        <item m="1" x="88"/>
        <item m="1" x="57"/>
        <item m="1" x="53"/>
        <item m="1" x="40"/>
        <item m="1" x="91"/>
        <item m="1" x="60"/>
        <item m="1" x="29"/>
        <item x="16"/>
        <item m="1" x="41"/>
        <item m="1" x="37"/>
        <item m="1" x="107"/>
        <item m="1" x="106"/>
        <item x="20"/>
        <item x="9"/>
        <item m="1" x="86"/>
        <item m="1" x="93"/>
        <item m="1" x="102"/>
        <item x="3"/>
        <item m="1" x="42"/>
        <item m="1" x="50"/>
        <item m="1" x="49"/>
        <item x="6"/>
        <item x="4"/>
        <item x="1"/>
        <item x="5"/>
        <item m="1" x="34"/>
        <item m="1" x="59"/>
        <item m="1" x="27"/>
        <item m="1" x="98"/>
        <item m="1" x="68"/>
        <item m="1" x="47"/>
        <item m="1" x="103"/>
        <item m="1" x="25"/>
        <item m="1" x="71"/>
        <item m="1" x="38"/>
        <item x="14"/>
        <item m="1" x="48"/>
        <item m="1" x="96"/>
        <item m="1" x="36"/>
        <item x="8"/>
        <item x="0"/>
        <item x="2"/>
        <item x="11"/>
        <item x="12"/>
        <item x="15"/>
        <item x="7"/>
        <item x="17"/>
        <item x="19"/>
        <item t="default"/>
      </items>
    </pivotField>
    <pivotField dataField="1"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19">
        <item h="1" m="1" x="11"/>
        <item h="1" m="1" x="16"/>
        <item x="9"/>
        <item h="1" m="1" x="12"/>
        <item h="1" m="1" x="17"/>
        <item h="1" m="1" x="13"/>
        <item h="1" x="8"/>
        <item h="1" m="1" x="14"/>
        <item h="1" x="10"/>
        <item h="1" x="0"/>
        <item h="1" x="2"/>
        <item h="1" x="3"/>
        <item h="1" x="6"/>
        <item h="1" x="4"/>
        <item h="1" m="1" x="15"/>
        <item h="1" x="5"/>
        <item h="1" x="1"/>
        <item h="1" x="7"/>
        <item t="default"/>
      </items>
    </pivotField>
    <pivotField axis="axisRow" compact="0" outline="0" subtotalTop="0" showAll="0">
      <items count="8">
        <item x="2"/>
        <item x="5"/>
        <item x="1"/>
        <item x="0"/>
        <item x="3"/>
        <item m="1" x="6"/>
        <item x="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5">
    <field x="10"/>
    <field x="11"/>
    <field x="0"/>
    <field x="1"/>
    <field x="2"/>
  </rowFields>
  <rowItems count="29">
    <i>
      <x v="2"/>
      <x/>
      <x v="117"/>
      <x v="18"/>
      <x v="73"/>
    </i>
    <i r="2">
      <x v="136"/>
      <x v="26"/>
      <x v="54"/>
    </i>
    <i t="default" r="1">
      <x/>
    </i>
    <i r="1">
      <x v="1"/>
      <x v="29"/>
      <x v="45"/>
      <x v="48"/>
    </i>
    <i r="2">
      <x v="120"/>
      <x v="18"/>
      <x v="73"/>
    </i>
    <i t="default" r="1">
      <x v="1"/>
    </i>
    <i r="1">
      <x v="2"/>
      <x v="16"/>
      <x v="41"/>
      <x v="54"/>
    </i>
    <i r="2">
      <x v="34"/>
      <x v="46"/>
      <x v="54"/>
    </i>
    <i r="2">
      <x v="116"/>
      <x v="18"/>
      <x v="73"/>
    </i>
    <i r="2">
      <x v="123"/>
      <x v="19"/>
      <x v="54"/>
    </i>
    <i r="2">
      <x v="134"/>
      <x v="26"/>
      <x v="54"/>
    </i>
    <i r="2">
      <x v="137"/>
      <x v="26"/>
      <x v="54"/>
    </i>
    <i t="default" r="1">
      <x v="2"/>
    </i>
    <i r="1">
      <x v="4"/>
      <x v="11"/>
      <x v="40"/>
      <x v="95"/>
    </i>
    <i r="2">
      <x v="17"/>
      <x v="41"/>
      <x v="54"/>
    </i>
    <i r="2">
      <x v="28"/>
      <x v="45"/>
      <x v="106"/>
    </i>
    <i r="2">
      <x v="33"/>
      <x v="46"/>
      <x v="54"/>
    </i>
    <i r="2">
      <x v="118"/>
      <x v="18"/>
      <x v="73"/>
    </i>
    <i r="2">
      <x v="124"/>
      <x v="19"/>
      <x v="54"/>
    </i>
    <i r="2">
      <x v="133"/>
      <x v="26"/>
      <x v="54"/>
    </i>
    <i r="2">
      <x v="135"/>
      <x v="26"/>
      <x v="54"/>
    </i>
    <i r="2">
      <x v="144"/>
      <x v="29"/>
      <x v="102"/>
    </i>
    <i r="2">
      <x v="145"/>
      <x v="29"/>
      <x v="103"/>
    </i>
    <i t="default" r="1">
      <x v="4"/>
    </i>
    <i r="1">
      <x v="6"/>
      <x v="46"/>
      <x v="47"/>
      <x v="107"/>
    </i>
    <i r="2">
      <x v="147"/>
      <x v="18"/>
      <x v="73"/>
    </i>
    <i t="default" r="1">
      <x v="6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DEBE" fld="3" baseField="0" baseItem="0"/>
    <dataField name="Suma de HABER" fld="4" baseField="0" baseItem="0"/>
  </dataFields>
  <formats count="24"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10" type="button" dataOnly="0" labelOnly="1" outline="0" axis="axisRow" fieldPosition="0"/>
    </format>
    <format dxfId="75">
      <pivotArea field="11" type="button" dataOnly="0" labelOnly="1" outline="0" axis="axisRow" fieldPosition="1"/>
    </format>
    <format dxfId="74">
      <pivotArea field="0" type="button" dataOnly="0" labelOnly="1" outline="0" axis="axisRow" fieldPosition="2"/>
    </format>
    <format dxfId="73">
      <pivotArea field="1" type="button" dataOnly="0" labelOnly="1" outline="0" axis="axisRow" fieldPosition="3"/>
    </format>
    <format dxfId="72">
      <pivotArea field="2" type="button" dataOnly="0" labelOnly="1" outline="0" axis="axisRow" fieldPosition="4"/>
    </format>
    <format dxfId="71">
      <pivotArea dataOnly="0" labelOnly="1" outline="0" fieldPosition="0">
        <references count="1">
          <reference field="10" count="0"/>
        </references>
      </pivotArea>
    </format>
    <format dxfId="70">
      <pivotArea dataOnly="0" labelOnly="1" outline="0" fieldPosition="0">
        <references count="1">
          <reference field="10" count="0" defaultSubtotal="1"/>
        </references>
      </pivotArea>
    </format>
    <format dxfId="69">
      <pivotArea dataOnly="0" labelOnly="1" grandRow="1" outline="0" fieldPosition="0"/>
    </format>
    <format dxfId="68">
      <pivotArea dataOnly="0" labelOnly="1" outline="0" fieldPosition="0">
        <references count="2">
          <reference field="10" count="0" selected="0"/>
          <reference field="11" count="3">
            <x v="0"/>
            <x v="1"/>
            <x v="2"/>
          </reference>
        </references>
      </pivotArea>
    </format>
    <format dxfId="67">
      <pivotArea dataOnly="0" labelOnly="1" outline="0" fieldPosition="0">
        <references count="2">
          <reference field="10" count="0" selected="0"/>
          <reference field="11" count="3" defaultSubtotal="1">
            <x v="0"/>
            <x v="1"/>
            <x v="2"/>
          </reference>
        </references>
      </pivotArea>
    </format>
    <format dxfId="66">
      <pivotArea dataOnly="0" labelOnly="1" outline="0" fieldPosition="0">
        <references count="3">
          <reference field="0" count="2">
            <x v="0"/>
            <x v="38"/>
          </reference>
          <reference field="10" count="0" selected="0"/>
          <reference field="11" count="1" selected="0">
            <x v="0"/>
          </reference>
        </references>
      </pivotArea>
    </format>
    <format dxfId="65">
      <pivotArea dataOnly="0" labelOnly="1" outline="0" fieldPosition="0">
        <references count="3">
          <reference field="0" count="2">
            <x v="0"/>
            <x v="94"/>
          </reference>
          <reference field="10" count="0" selected="0"/>
          <reference field="11" count="1" selected="0">
            <x v="1"/>
          </reference>
        </references>
      </pivotArea>
    </format>
    <format dxfId="64">
      <pivotArea dataOnly="0" labelOnly="1" outline="0" fieldPosition="0">
        <references count="3">
          <reference field="0" count="8">
            <x v="0"/>
            <x v="6"/>
            <x v="31"/>
            <x v="39"/>
            <x v="57"/>
            <x v="67"/>
            <x v="89"/>
            <x v="90"/>
          </reference>
          <reference field="10" count="0" selected="0"/>
          <reference field="11" count="1" selected="0">
            <x v="2"/>
          </reference>
        </references>
      </pivotArea>
    </format>
    <format dxfId="63">
      <pivotArea dataOnly="0" labelOnly="1" outline="0" fieldPosition="0">
        <references count="4">
          <reference field="0" count="1" selected="0">
            <x v="0"/>
          </reference>
          <reference field="1" count="2">
            <x v="1"/>
            <x v="3"/>
          </reference>
          <reference field="10" count="0" selected="0"/>
          <reference field="11" count="1" selected="0">
            <x v="0"/>
          </reference>
        </references>
      </pivotArea>
    </format>
    <format dxfId="62">
      <pivotArea dataOnly="0" labelOnly="1" outline="0" fieldPosition="0">
        <references count="4">
          <reference field="0" count="1" selected="0">
            <x v="0"/>
          </reference>
          <reference field="1" count="2">
            <x v="1"/>
            <x v="3"/>
          </reference>
          <reference field="10" count="0" selected="0"/>
          <reference field="11" count="1" selected="0">
            <x v="1"/>
          </reference>
        </references>
      </pivotArea>
    </format>
    <format dxfId="61">
      <pivotArea dataOnly="0" labelOnly="1" outline="0" fieldPosition="0">
        <references count="4">
          <reference field="0" count="1" selected="0">
            <x v="0"/>
          </reference>
          <reference field="1" count="1">
            <x v="1"/>
          </reference>
          <reference field="10" count="0" selected="0"/>
          <reference field="11" count="1" selected="0">
            <x v="2"/>
          </reference>
        </references>
      </pivotArea>
    </format>
    <format dxfId="6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"/>
          </reference>
          <reference field="2" count="1">
            <x v="73"/>
          </reference>
          <reference field="10" count="0" selected="0"/>
          <reference field="11" count="1" selected="0">
            <x v="0"/>
          </reference>
        </references>
      </pivotArea>
    </format>
    <format dxfId="5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"/>
          </reference>
          <reference field="2" count="1">
            <x v="54"/>
          </reference>
          <reference field="10" count="0" selected="0"/>
          <reference field="11" count="1" selected="0">
            <x v="0"/>
          </reference>
        </references>
      </pivotArea>
    </format>
    <format dxfId="5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"/>
          </reference>
          <reference field="2" count="1">
            <x v="73"/>
          </reference>
          <reference field="10" count="0" selected="0"/>
          <reference field="11" count="1" selected="0">
            <x v="1"/>
          </reference>
        </references>
      </pivotArea>
    </format>
    <format dxfId="5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3"/>
          </reference>
          <reference field="2" count="1">
            <x v="48"/>
          </reference>
          <reference field="10" count="0" selected="0"/>
          <reference field="11" count="1" selected="0">
            <x v="1"/>
          </reference>
        </references>
      </pivotArea>
    </format>
    <format dxfId="5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"/>
          </reference>
          <reference field="2" count="1">
            <x v="73"/>
          </reference>
          <reference field="10" count="0" selected="0"/>
          <reference field="11" count="1" selected="0">
            <x v="2"/>
          </reference>
        </references>
      </pivotArea>
    </format>
    <format dxfId="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9"/>
  <sheetViews>
    <sheetView topLeftCell="A10" workbookViewId="0">
      <selection activeCell="L37" sqref="L37"/>
    </sheetView>
  </sheetViews>
  <sheetFormatPr baseColWidth="10" defaultColWidth="11.42578125" defaultRowHeight="15" customHeight="1" x14ac:dyDescent="0.25"/>
  <cols>
    <col min="3" max="3" width="43.85546875" customWidth="1"/>
    <col min="6" max="6" width="11.42578125" style="2"/>
    <col min="8" max="8" width="48.140625" customWidth="1"/>
    <col min="9" max="9" width="30.7109375" customWidth="1"/>
    <col min="11" max="11" width="54.7109375" customWidth="1"/>
    <col min="12" max="12" width="18.42578125" customWidth="1"/>
  </cols>
  <sheetData>
    <row r="1" spans="1:18" ht="15" customHeight="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3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</row>
    <row r="2" spans="1:18" ht="15" customHeight="1" x14ac:dyDescent="0.25">
      <c r="A2" s="15">
        <v>0</v>
      </c>
      <c r="B2" s="16">
        <v>46023</v>
      </c>
      <c r="C2" s="17" t="s">
        <v>153</v>
      </c>
      <c r="D2" s="18"/>
      <c r="E2" s="18">
        <v>900</v>
      </c>
      <c r="F2" s="19" t="s">
        <v>18</v>
      </c>
      <c r="G2" s="20"/>
      <c r="H2" s="14"/>
      <c r="I2" s="21"/>
      <c r="J2" s="22"/>
      <c r="K2" s="21" t="s">
        <v>19</v>
      </c>
      <c r="L2" s="23"/>
      <c r="M2" s="21"/>
      <c r="N2" s="21"/>
      <c r="O2" s="21"/>
      <c r="P2" s="21"/>
      <c r="Q2" s="21"/>
      <c r="R2" s="21"/>
    </row>
    <row r="3" spans="1:18" ht="15" customHeight="1" x14ac:dyDescent="0.25">
      <c r="A3" s="15">
        <v>0</v>
      </c>
      <c r="B3" s="16">
        <v>46023</v>
      </c>
      <c r="C3" s="17" t="s">
        <v>20</v>
      </c>
      <c r="D3" s="18"/>
      <c r="E3" s="18">
        <v>0</v>
      </c>
      <c r="F3" s="19" t="s">
        <v>18</v>
      </c>
      <c r="G3" s="20"/>
      <c r="H3" s="14"/>
      <c r="I3" s="21"/>
      <c r="J3" s="22"/>
      <c r="K3" t="s">
        <v>47</v>
      </c>
      <c r="L3" s="23"/>
      <c r="M3" s="21"/>
      <c r="N3" s="21"/>
      <c r="O3" s="21"/>
      <c r="P3" s="21"/>
      <c r="Q3" s="21"/>
      <c r="R3" s="21"/>
    </row>
    <row r="4" spans="1:18" ht="15" customHeight="1" x14ac:dyDescent="0.25">
      <c r="A4" s="15">
        <v>0</v>
      </c>
      <c r="B4" s="16">
        <v>46023</v>
      </c>
      <c r="C4" s="17" t="s">
        <v>154</v>
      </c>
      <c r="D4" s="18"/>
      <c r="E4" s="18">
        <v>553.98</v>
      </c>
      <c r="F4" s="19" t="s">
        <v>18</v>
      </c>
      <c r="G4" s="20"/>
      <c r="H4" s="14"/>
      <c r="I4" s="21"/>
      <c r="J4" s="22"/>
      <c r="K4" s="21" t="s">
        <v>22</v>
      </c>
      <c r="L4" s="23"/>
      <c r="M4" s="21"/>
      <c r="N4" s="21"/>
      <c r="O4" s="21"/>
      <c r="P4" s="21"/>
      <c r="Q4" s="21"/>
      <c r="R4" s="21"/>
    </row>
    <row r="5" spans="1:18" ht="15" customHeight="1" x14ac:dyDescent="0.25">
      <c r="A5" s="15">
        <v>0</v>
      </c>
      <c r="B5" s="16">
        <v>45658</v>
      </c>
      <c r="C5" s="17" t="s">
        <v>23</v>
      </c>
      <c r="D5" s="18"/>
      <c r="E5" s="18">
        <v>0</v>
      </c>
      <c r="F5" s="19" t="s">
        <v>18</v>
      </c>
      <c r="G5" s="20"/>
      <c r="H5" s="14"/>
      <c r="I5" s="21"/>
      <c r="J5" s="22"/>
      <c r="K5" s="21" t="s">
        <v>24</v>
      </c>
      <c r="L5" s="23"/>
      <c r="M5" s="21"/>
      <c r="N5" s="21"/>
      <c r="O5" s="21"/>
      <c r="P5" s="21"/>
      <c r="Q5" s="21"/>
      <c r="R5" s="21"/>
    </row>
    <row r="6" spans="1:18" ht="15" customHeight="1" x14ac:dyDescent="0.25">
      <c r="A6" s="15">
        <v>0</v>
      </c>
      <c r="B6" s="16">
        <v>46023</v>
      </c>
      <c r="C6" s="17" t="s">
        <v>25</v>
      </c>
      <c r="D6" s="18"/>
      <c r="E6" s="18">
        <v>0</v>
      </c>
      <c r="F6" s="19" t="s">
        <v>18</v>
      </c>
      <c r="G6" s="20"/>
      <c r="H6" s="14"/>
      <c r="I6" s="21"/>
      <c r="J6" s="22"/>
      <c r="K6" s="21" t="s">
        <v>26</v>
      </c>
      <c r="L6" s="23"/>
      <c r="M6" s="21"/>
      <c r="N6" s="21"/>
      <c r="O6" s="21"/>
      <c r="P6" s="21"/>
      <c r="Q6" s="21"/>
      <c r="R6" s="21"/>
    </row>
    <row r="7" spans="1:18" ht="15" customHeight="1" x14ac:dyDescent="0.25">
      <c r="A7" s="15">
        <v>0</v>
      </c>
      <c r="B7" s="16">
        <v>46023</v>
      </c>
      <c r="C7" s="17" t="s">
        <v>27</v>
      </c>
      <c r="D7" s="18"/>
      <c r="E7" s="18">
        <v>164.2</v>
      </c>
      <c r="F7" s="19" t="s">
        <v>18</v>
      </c>
      <c r="G7" s="20"/>
      <c r="H7" s="14"/>
      <c r="I7" s="21"/>
      <c r="J7" s="22"/>
      <c r="K7" s="21" t="s">
        <v>28</v>
      </c>
      <c r="L7" s="23"/>
      <c r="M7" s="21"/>
      <c r="N7" s="21"/>
      <c r="O7" s="21"/>
      <c r="P7" s="21"/>
      <c r="Q7" s="21"/>
      <c r="R7" s="21"/>
    </row>
    <row r="8" spans="1:18" ht="15" customHeight="1" x14ac:dyDescent="0.25">
      <c r="A8" s="15">
        <v>0</v>
      </c>
      <c r="B8" s="16">
        <v>46023</v>
      </c>
      <c r="C8" s="17" t="s">
        <v>29</v>
      </c>
      <c r="D8" s="18"/>
      <c r="E8" s="18">
        <v>0</v>
      </c>
      <c r="F8" s="19" t="s">
        <v>18</v>
      </c>
      <c r="G8" s="20"/>
      <c r="H8" s="14"/>
      <c r="I8" s="21"/>
      <c r="J8" s="22"/>
      <c r="K8" s="21" t="s">
        <v>30</v>
      </c>
      <c r="L8" s="23"/>
      <c r="M8" s="21"/>
      <c r="N8" s="21"/>
      <c r="O8" s="21"/>
      <c r="P8" s="21"/>
      <c r="Q8" s="21"/>
      <c r="R8" s="21"/>
    </row>
    <row r="9" spans="1:18" ht="15" customHeight="1" x14ac:dyDescent="0.25">
      <c r="A9" s="15">
        <v>0</v>
      </c>
      <c r="B9" s="16">
        <v>46055</v>
      </c>
      <c r="C9" s="17" t="s">
        <v>159</v>
      </c>
      <c r="D9" s="18"/>
      <c r="E9" s="18">
        <v>825</v>
      </c>
      <c r="F9" s="19" t="s">
        <v>18</v>
      </c>
      <c r="G9" s="20"/>
      <c r="H9" s="14"/>
      <c r="I9" s="21"/>
      <c r="J9" s="22"/>
      <c r="K9" s="21" t="s">
        <v>159</v>
      </c>
      <c r="L9" s="23"/>
      <c r="M9" s="21"/>
      <c r="N9" s="21"/>
      <c r="O9" s="21"/>
      <c r="P9" s="21"/>
      <c r="Q9" s="21"/>
      <c r="R9" s="21"/>
    </row>
    <row r="10" spans="1:18" ht="15" customHeight="1" x14ac:dyDescent="0.25">
      <c r="A10" s="15" t="s">
        <v>151</v>
      </c>
      <c r="B10" s="16">
        <v>46023</v>
      </c>
      <c r="C10" s="17" t="s">
        <v>152</v>
      </c>
      <c r="D10" s="18"/>
      <c r="E10" s="18">
        <v>0</v>
      </c>
      <c r="F10" s="19" t="s">
        <v>18</v>
      </c>
      <c r="G10" s="20"/>
      <c r="H10" s="14"/>
      <c r="I10" s="21"/>
      <c r="J10" s="22"/>
      <c r="K10" s="21" t="s">
        <v>43</v>
      </c>
      <c r="L10" s="23"/>
      <c r="M10" s="21"/>
      <c r="N10" s="21"/>
      <c r="O10" s="21"/>
      <c r="P10" s="21"/>
      <c r="Q10" s="21"/>
      <c r="R10" s="21"/>
    </row>
    <row r="11" spans="1:18" ht="15" customHeight="1" x14ac:dyDescent="0.25">
      <c r="A11" s="15">
        <v>153</v>
      </c>
      <c r="B11" s="25">
        <v>45966</v>
      </c>
      <c r="C11" s="17" t="s">
        <v>34</v>
      </c>
      <c r="D11" s="18"/>
      <c r="E11" s="18">
        <v>1313</v>
      </c>
      <c r="F11" s="19" t="s">
        <v>18</v>
      </c>
      <c r="G11" s="20" t="s">
        <v>35</v>
      </c>
      <c r="H11" s="14" t="s">
        <v>36</v>
      </c>
      <c r="I11" s="21" t="s">
        <v>157</v>
      </c>
      <c r="J11" s="22"/>
      <c r="K11" s="21" t="s">
        <v>37</v>
      </c>
      <c r="L11" s="23" t="s">
        <v>38</v>
      </c>
      <c r="M11" s="21"/>
      <c r="N11" s="21"/>
      <c r="O11" s="21"/>
      <c r="P11" s="21"/>
      <c r="Q11" s="21"/>
      <c r="R11" s="21"/>
    </row>
    <row r="12" spans="1:18" ht="15" customHeight="1" x14ac:dyDescent="0.25">
      <c r="A12" s="15">
        <v>154</v>
      </c>
      <c r="B12" s="16">
        <v>45966</v>
      </c>
      <c r="C12" s="17" t="s">
        <v>34</v>
      </c>
      <c r="D12" s="18"/>
      <c r="E12" s="18">
        <v>400</v>
      </c>
      <c r="F12" s="19" t="s">
        <v>18</v>
      </c>
      <c r="G12" s="20" t="s">
        <v>35</v>
      </c>
      <c r="H12" s="14" t="s">
        <v>36</v>
      </c>
      <c r="I12" s="21" t="s">
        <v>157</v>
      </c>
      <c r="J12" s="22"/>
      <c r="K12" s="21" t="s">
        <v>37</v>
      </c>
      <c r="L12" s="23" t="s">
        <v>39</v>
      </c>
      <c r="M12" s="21"/>
      <c r="N12" s="21"/>
      <c r="O12" s="21"/>
      <c r="P12" s="21"/>
      <c r="Q12" s="21"/>
      <c r="R12" s="21"/>
    </row>
    <row r="13" spans="1:18" ht="15" customHeight="1" x14ac:dyDescent="0.25">
      <c r="A13" s="15">
        <v>155</v>
      </c>
      <c r="B13" s="16">
        <v>45966</v>
      </c>
      <c r="C13" s="17" t="s">
        <v>34</v>
      </c>
      <c r="D13" s="18"/>
      <c r="E13" s="18">
        <v>2226</v>
      </c>
      <c r="F13" s="19" t="s">
        <v>18</v>
      </c>
      <c r="G13" s="20" t="s">
        <v>35</v>
      </c>
      <c r="H13" s="14" t="s">
        <v>36</v>
      </c>
      <c r="I13" s="21" t="s">
        <v>157</v>
      </c>
      <c r="J13" s="22"/>
      <c r="K13" s="21" t="s">
        <v>37</v>
      </c>
      <c r="L13" s="23" t="s">
        <v>40</v>
      </c>
      <c r="M13" s="21"/>
      <c r="N13" s="21"/>
      <c r="O13" s="21"/>
      <c r="P13" s="21"/>
      <c r="Q13" s="21"/>
      <c r="R13" s="21"/>
    </row>
    <row r="14" spans="1:18" ht="15" customHeight="1" x14ac:dyDescent="0.25">
      <c r="A14" s="15">
        <v>156</v>
      </c>
      <c r="B14" s="16">
        <v>45966</v>
      </c>
      <c r="C14" s="17" t="s">
        <v>34</v>
      </c>
      <c r="D14" s="18"/>
      <c r="E14" s="18">
        <v>400</v>
      </c>
      <c r="F14" s="19" t="s">
        <v>18</v>
      </c>
      <c r="G14" s="20" t="s">
        <v>35</v>
      </c>
      <c r="H14" s="14" t="s">
        <v>36</v>
      </c>
      <c r="I14" s="21" t="s">
        <v>157</v>
      </c>
      <c r="J14" s="22"/>
      <c r="K14" s="21" t="s">
        <v>37</v>
      </c>
      <c r="L14" s="23" t="s">
        <v>70</v>
      </c>
      <c r="M14" s="21"/>
      <c r="N14" s="21"/>
      <c r="O14" s="21"/>
      <c r="P14" s="21"/>
      <c r="Q14" s="21"/>
      <c r="R14" s="21"/>
    </row>
    <row r="15" spans="1:18" ht="15" customHeight="1" x14ac:dyDescent="0.25">
      <c r="A15" s="15">
        <v>157</v>
      </c>
      <c r="B15" s="16">
        <v>45966</v>
      </c>
      <c r="C15" s="17" t="s">
        <v>34</v>
      </c>
      <c r="D15" s="18"/>
      <c r="E15" s="18">
        <v>400</v>
      </c>
      <c r="F15" s="19" t="s">
        <v>18</v>
      </c>
      <c r="G15" s="20" t="s">
        <v>35</v>
      </c>
      <c r="H15" s="14" t="s">
        <v>36</v>
      </c>
      <c r="I15" s="21" t="s">
        <v>157</v>
      </c>
      <c r="J15" s="22"/>
      <c r="K15" s="21" t="s">
        <v>37</v>
      </c>
      <c r="L15" s="23" t="s">
        <v>44</v>
      </c>
      <c r="M15" s="21"/>
      <c r="N15" s="21"/>
      <c r="O15" s="21"/>
      <c r="P15" s="21"/>
      <c r="Q15" s="21"/>
      <c r="R15" s="21"/>
    </row>
    <row r="16" spans="1:18" ht="15" customHeight="1" x14ac:dyDescent="0.25">
      <c r="A16" s="15">
        <v>164</v>
      </c>
      <c r="B16" s="16">
        <v>45971</v>
      </c>
      <c r="C16" s="26" t="s">
        <v>48</v>
      </c>
      <c r="D16" s="18">
        <v>140</v>
      </c>
      <c r="E16" s="18"/>
      <c r="F16" s="27" t="s">
        <v>31</v>
      </c>
      <c r="G16" s="20" t="s">
        <v>32</v>
      </c>
      <c r="H16" s="14" t="s">
        <v>33</v>
      </c>
      <c r="I16" s="21" t="s">
        <v>157</v>
      </c>
      <c r="J16" s="22"/>
      <c r="K16" s="21" t="s">
        <v>37</v>
      </c>
      <c r="L16" s="21" t="s">
        <v>38</v>
      </c>
      <c r="M16" s="21"/>
      <c r="N16" s="21"/>
      <c r="O16" s="21"/>
      <c r="P16" s="21"/>
      <c r="Q16" s="21"/>
      <c r="R16" s="21"/>
    </row>
    <row r="17" spans="1:18" ht="15" customHeight="1" x14ac:dyDescent="0.25">
      <c r="A17" s="15">
        <v>165</v>
      </c>
      <c r="B17" s="16">
        <v>45971</v>
      </c>
      <c r="C17" s="24" t="s">
        <v>48</v>
      </c>
      <c r="D17" s="18">
        <v>35</v>
      </c>
      <c r="E17" s="18"/>
      <c r="F17" s="27" t="s">
        <v>31</v>
      </c>
      <c r="G17" s="20" t="s">
        <v>32</v>
      </c>
      <c r="H17" s="14" t="s">
        <v>33</v>
      </c>
      <c r="I17" s="21" t="s">
        <v>157</v>
      </c>
      <c r="J17" s="22"/>
      <c r="K17" s="21" t="s">
        <v>37</v>
      </c>
      <c r="L17" s="21" t="s">
        <v>40</v>
      </c>
      <c r="M17" s="21"/>
      <c r="N17" s="21"/>
      <c r="O17" s="21"/>
      <c r="P17" s="21"/>
      <c r="Q17" s="21"/>
      <c r="R17" s="21"/>
    </row>
    <row r="18" spans="1:18" x14ac:dyDescent="0.25">
      <c r="A18" s="15">
        <v>197</v>
      </c>
      <c r="B18" s="16">
        <v>46003</v>
      </c>
      <c r="C18" s="26" t="s">
        <v>48</v>
      </c>
      <c r="D18" s="18">
        <v>175</v>
      </c>
      <c r="E18" s="18"/>
      <c r="F18" s="27" t="s">
        <v>31</v>
      </c>
      <c r="G18" s="20" t="s">
        <v>32</v>
      </c>
      <c r="H18" s="14" t="s">
        <v>33</v>
      </c>
      <c r="I18" s="21" t="s">
        <v>157</v>
      </c>
      <c r="J18" s="22"/>
      <c r="K18" s="21" t="s">
        <v>37</v>
      </c>
      <c r="L18" s="21" t="s">
        <v>40</v>
      </c>
      <c r="M18" s="21"/>
      <c r="N18" s="21"/>
      <c r="O18" s="21"/>
      <c r="P18" s="21"/>
      <c r="Q18" s="21"/>
      <c r="R18" s="21"/>
    </row>
    <row r="19" spans="1:18" x14ac:dyDescent="0.25">
      <c r="A19" s="15">
        <v>198</v>
      </c>
      <c r="B19" s="16">
        <v>46003</v>
      </c>
      <c r="C19" s="26" t="s">
        <v>48</v>
      </c>
      <c r="D19" s="18">
        <v>175</v>
      </c>
      <c r="E19" s="18"/>
      <c r="F19" s="27" t="s">
        <v>31</v>
      </c>
      <c r="G19" s="20" t="s">
        <v>32</v>
      </c>
      <c r="H19" s="14" t="s">
        <v>33</v>
      </c>
      <c r="I19" s="21" t="s">
        <v>157</v>
      </c>
      <c r="J19" s="22"/>
      <c r="K19" s="21" t="s">
        <v>37</v>
      </c>
      <c r="L19" s="21" t="s">
        <v>38</v>
      </c>
      <c r="M19" s="21"/>
      <c r="N19" s="21"/>
      <c r="O19" s="21"/>
      <c r="P19" s="21"/>
      <c r="Q19" s="21"/>
      <c r="R19" s="21"/>
    </row>
    <row r="20" spans="1:18" x14ac:dyDescent="0.25">
      <c r="A20" s="15">
        <v>199</v>
      </c>
      <c r="B20" s="16">
        <v>46003</v>
      </c>
      <c r="C20" s="26" t="s">
        <v>48</v>
      </c>
      <c r="D20" s="18">
        <v>105</v>
      </c>
      <c r="E20" s="18"/>
      <c r="F20" s="27" t="s">
        <v>31</v>
      </c>
      <c r="G20" s="20" t="s">
        <v>32</v>
      </c>
      <c r="H20" s="14" t="s">
        <v>33</v>
      </c>
      <c r="I20" s="21" t="s">
        <v>157</v>
      </c>
      <c r="J20" s="22"/>
      <c r="K20" s="21" t="s">
        <v>37</v>
      </c>
      <c r="L20" s="21" t="s">
        <v>40</v>
      </c>
      <c r="M20" s="21"/>
      <c r="N20" s="21"/>
      <c r="O20" s="21"/>
      <c r="P20" s="21"/>
      <c r="Q20" s="21"/>
      <c r="R20" s="21"/>
    </row>
    <row r="21" spans="1:18" x14ac:dyDescent="0.25">
      <c r="A21" s="15">
        <v>200</v>
      </c>
      <c r="B21" s="16">
        <v>46003</v>
      </c>
      <c r="C21" s="26" t="s">
        <v>48</v>
      </c>
      <c r="D21" s="18">
        <v>400</v>
      </c>
      <c r="E21" s="18"/>
      <c r="F21" s="27" t="s">
        <v>31</v>
      </c>
      <c r="G21" s="20" t="s">
        <v>32</v>
      </c>
      <c r="H21" s="14" t="s">
        <v>33</v>
      </c>
      <c r="I21" s="21" t="s">
        <v>157</v>
      </c>
      <c r="J21" s="22"/>
      <c r="K21" s="21" t="s">
        <v>37</v>
      </c>
      <c r="L21" s="21" t="s">
        <v>39</v>
      </c>
      <c r="M21" s="21"/>
      <c r="N21" s="21"/>
      <c r="O21" s="21"/>
      <c r="P21" s="21"/>
      <c r="Q21" s="21"/>
      <c r="R21" s="21"/>
    </row>
    <row r="22" spans="1:18" x14ac:dyDescent="0.25">
      <c r="A22" s="15">
        <v>201</v>
      </c>
      <c r="B22" s="16">
        <v>46003</v>
      </c>
      <c r="C22" s="26" t="s">
        <v>48</v>
      </c>
      <c r="D22" s="18">
        <v>105</v>
      </c>
      <c r="E22" s="18"/>
      <c r="F22" s="27" t="s">
        <v>31</v>
      </c>
      <c r="G22" s="20" t="s">
        <v>32</v>
      </c>
      <c r="H22" s="14" t="s">
        <v>33</v>
      </c>
      <c r="I22" s="21" t="s">
        <v>157</v>
      </c>
      <c r="J22" s="22"/>
      <c r="K22" s="21" t="s">
        <v>37</v>
      </c>
      <c r="L22" s="21" t="s">
        <v>38</v>
      </c>
      <c r="M22" s="21"/>
      <c r="N22" s="21"/>
      <c r="O22" s="21"/>
      <c r="P22" s="21"/>
      <c r="Q22" s="21"/>
      <c r="R22" s="21"/>
    </row>
    <row r="23" spans="1:18" x14ac:dyDescent="0.25">
      <c r="A23" s="15">
        <v>220</v>
      </c>
      <c r="B23" s="16">
        <v>46031</v>
      </c>
      <c r="C23" s="26" t="s">
        <v>155</v>
      </c>
      <c r="D23" s="18">
        <v>153</v>
      </c>
      <c r="E23" s="18"/>
      <c r="F23" s="27" t="s">
        <v>31</v>
      </c>
      <c r="G23" s="20" t="s">
        <v>32</v>
      </c>
      <c r="H23" s="14" t="s">
        <v>33</v>
      </c>
      <c r="I23" s="21" t="s">
        <v>157</v>
      </c>
      <c r="J23" s="22"/>
      <c r="K23" s="21" t="s">
        <v>37</v>
      </c>
      <c r="L23" s="21" t="s">
        <v>40</v>
      </c>
      <c r="M23" s="21"/>
      <c r="N23" s="21"/>
      <c r="O23" s="21"/>
      <c r="P23" s="21"/>
      <c r="Q23" s="21"/>
      <c r="R23" s="21"/>
    </row>
    <row r="24" spans="1:18" x14ac:dyDescent="0.25">
      <c r="A24" s="15">
        <v>221</v>
      </c>
      <c r="B24" s="16">
        <v>46031</v>
      </c>
      <c r="C24" s="26" t="s">
        <v>156</v>
      </c>
      <c r="D24" s="18">
        <v>120</v>
      </c>
      <c r="E24" s="18"/>
      <c r="F24" s="27" t="s">
        <v>31</v>
      </c>
      <c r="G24" s="20" t="s">
        <v>32</v>
      </c>
      <c r="H24" s="14" t="s">
        <v>33</v>
      </c>
      <c r="I24" s="21" t="s">
        <v>157</v>
      </c>
      <c r="J24" s="22"/>
      <c r="K24" s="21" t="s">
        <v>37</v>
      </c>
      <c r="L24" s="21" t="s">
        <v>40</v>
      </c>
      <c r="M24" s="21"/>
      <c r="N24" s="21"/>
      <c r="O24" s="21"/>
      <c r="P24" s="21"/>
      <c r="Q24" s="21"/>
      <c r="R24" s="21"/>
    </row>
    <row r="25" spans="1:18" x14ac:dyDescent="0.25">
      <c r="A25" s="15">
        <v>3</v>
      </c>
      <c r="B25" s="16">
        <v>46037</v>
      </c>
      <c r="C25" s="26" t="s">
        <v>124</v>
      </c>
      <c r="D25" s="18">
        <v>10.119999999999999</v>
      </c>
      <c r="E25" s="18"/>
      <c r="F25" s="27" t="s">
        <v>31</v>
      </c>
      <c r="G25" s="20" t="s">
        <v>32</v>
      </c>
      <c r="H25" s="14" t="s">
        <v>33</v>
      </c>
      <c r="I25" s="21" t="s">
        <v>150</v>
      </c>
      <c r="J25" s="22"/>
      <c r="K25" s="21" t="s">
        <v>43</v>
      </c>
      <c r="L25" s="21"/>
      <c r="M25" s="21"/>
      <c r="N25" s="21"/>
      <c r="O25" s="21"/>
      <c r="P25" s="21"/>
      <c r="Q25" s="21"/>
      <c r="R25" s="21"/>
    </row>
    <row r="26" spans="1:18" x14ac:dyDescent="0.25">
      <c r="A26" s="15">
        <v>11</v>
      </c>
      <c r="B26" s="16">
        <v>46051</v>
      </c>
      <c r="C26" s="26" t="s">
        <v>148</v>
      </c>
      <c r="D26" s="18">
        <v>80</v>
      </c>
      <c r="E26" s="18"/>
      <c r="F26" s="27" t="s">
        <v>31</v>
      </c>
      <c r="G26" s="20" t="s">
        <v>32</v>
      </c>
      <c r="H26" s="14" t="s">
        <v>33</v>
      </c>
      <c r="I26" s="21" t="s">
        <v>150</v>
      </c>
      <c r="J26" s="22"/>
      <c r="K26" s="21" t="s">
        <v>37</v>
      </c>
      <c r="L26" s="21" t="s">
        <v>40</v>
      </c>
      <c r="M26" s="21"/>
      <c r="N26" s="21"/>
      <c r="O26" s="21"/>
      <c r="P26" s="21"/>
      <c r="Q26" s="21"/>
      <c r="R26" s="21"/>
    </row>
    <row r="27" spans="1:18" x14ac:dyDescent="0.25">
      <c r="A27" s="15">
        <v>14</v>
      </c>
      <c r="B27" s="16">
        <v>46058</v>
      </c>
      <c r="C27" s="26" t="s">
        <v>124</v>
      </c>
      <c r="D27" s="18">
        <v>8.2200000000000006</v>
      </c>
      <c r="E27" s="18"/>
      <c r="F27" s="27" t="s">
        <v>31</v>
      </c>
      <c r="G27" s="20" t="s">
        <v>32</v>
      </c>
      <c r="H27" s="14" t="s">
        <v>33</v>
      </c>
      <c r="I27" s="21" t="s">
        <v>150</v>
      </c>
      <c r="J27" s="22"/>
      <c r="K27" s="21" t="s">
        <v>43</v>
      </c>
      <c r="L27" s="21"/>
      <c r="M27" s="21"/>
      <c r="N27" s="21"/>
      <c r="O27" s="21"/>
      <c r="P27" s="21"/>
      <c r="Q27" s="21"/>
      <c r="R27" s="21"/>
    </row>
    <row r="28" spans="1:18" x14ac:dyDescent="0.25">
      <c r="A28" s="15">
        <v>16</v>
      </c>
      <c r="B28" s="16">
        <v>46058</v>
      </c>
      <c r="C28" s="26" t="s">
        <v>48</v>
      </c>
      <c r="D28" s="18">
        <v>105</v>
      </c>
      <c r="E28" s="18"/>
      <c r="F28" s="27" t="s">
        <v>31</v>
      </c>
      <c r="G28" s="20" t="s">
        <v>32</v>
      </c>
      <c r="H28" s="14" t="s">
        <v>33</v>
      </c>
      <c r="I28" s="21" t="s">
        <v>150</v>
      </c>
      <c r="J28" s="22"/>
      <c r="K28" s="21" t="s">
        <v>37</v>
      </c>
      <c r="L28" s="21" t="s">
        <v>38</v>
      </c>
      <c r="M28" s="21"/>
      <c r="N28" s="21"/>
      <c r="O28" s="21"/>
      <c r="P28" s="21"/>
      <c r="Q28" s="21"/>
      <c r="R28" s="21"/>
    </row>
    <row r="29" spans="1:18" x14ac:dyDescent="0.25">
      <c r="A29" s="15">
        <v>17</v>
      </c>
      <c r="B29" s="16">
        <v>46058</v>
      </c>
      <c r="C29" s="26" t="s">
        <v>48</v>
      </c>
      <c r="D29" s="18">
        <v>35</v>
      </c>
      <c r="E29" s="18"/>
      <c r="F29" s="27" t="s">
        <v>31</v>
      </c>
      <c r="G29" s="20" t="s">
        <v>32</v>
      </c>
      <c r="H29" s="14" t="s">
        <v>33</v>
      </c>
      <c r="I29" s="21" t="s">
        <v>150</v>
      </c>
      <c r="J29" s="22"/>
      <c r="K29" s="21" t="s">
        <v>37</v>
      </c>
      <c r="L29" s="21" t="s">
        <v>40</v>
      </c>
      <c r="M29" s="21"/>
      <c r="N29" s="21"/>
      <c r="O29" s="21"/>
      <c r="P29" s="21"/>
      <c r="Q29" s="21"/>
      <c r="R29" s="21"/>
    </row>
    <row r="30" spans="1:18" x14ac:dyDescent="0.25">
      <c r="A30" s="15">
        <v>20</v>
      </c>
      <c r="B30" s="16">
        <v>46063</v>
      </c>
      <c r="C30" s="26" t="s">
        <v>158</v>
      </c>
      <c r="D30" s="18">
        <v>84</v>
      </c>
      <c r="E30" s="18"/>
      <c r="F30" s="27" t="s">
        <v>31</v>
      </c>
      <c r="G30" s="20" t="s">
        <v>32</v>
      </c>
      <c r="H30" s="14" t="s">
        <v>33</v>
      </c>
      <c r="I30" s="21" t="s">
        <v>150</v>
      </c>
      <c r="J30" s="22"/>
      <c r="K30" s="21" t="s">
        <v>43</v>
      </c>
      <c r="L30" s="21"/>
      <c r="M30" s="21"/>
      <c r="N30" s="21"/>
      <c r="O30" s="21"/>
      <c r="P30" s="21"/>
      <c r="Q30" s="21"/>
      <c r="R30" s="21"/>
    </row>
    <row r="31" spans="1:18" x14ac:dyDescent="0.25">
      <c r="A31" s="15">
        <v>22</v>
      </c>
      <c r="B31" s="16">
        <v>46065</v>
      </c>
      <c r="C31" s="26" t="s">
        <v>161</v>
      </c>
      <c r="D31" s="18">
        <v>232.89</v>
      </c>
      <c r="E31" s="18"/>
      <c r="F31" s="27" t="s">
        <v>31</v>
      </c>
      <c r="G31" s="20" t="s">
        <v>92</v>
      </c>
      <c r="H31" s="14" t="s">
        <v>93</v>
      </c>
      <c r="I31" s="21" t="s">
        <v>150</v>
      </c>
      <c r="J31" s="22"/>
      <c r="K31" s="21" t="s">
        <v>28</v>
      </c>
      <c r="L31" s="21"/>
      <c r="M31" s="21"/>
      <c r="N31" s="21"/>
      <c r="O31" s="21"/>
      <c r="P31" s="21"/>
      <c r="Q31" s="21"/>
      <c r="R31" s="21"/>
    </row>
    <row r="32" spans="1:18" x14ac:dyDescent="0.25">
      <c r="A32" s="15">
        <v>28</v>
      </c>
      <c r="B32" s="16">
        <v>46080</v>
      </c>
      <c r="C32" s="26" t="s">
        <v>162</v>
      </c>
      <c r="D32" s="18">
        <v>160</v>
      </c>
      <c r="E32" s="18"/>
      <c r="F32" s="27" t="s">
        <v>31</v>
      </c>
      <c r="G32" s="20" t="s">
        <v>32</v>
      </c>
      <c r="H32" s="14" t="s">
        <v>33</v>
      </c>
      <c r="I32" s="21" t="s">
        <v>150</v>
      </c>
      <c r="J32" s="22"/>
      <c r="K32" s="21" t="s">
        <v>37</v>
      </c>
      <c r="L32" s="21" t="s">
        <v>40</v>
      </c>
      <c r="M32" s="21"/>
      <c r="N32" s="21"/>
      <c r="O32" s="21"/>
      <c r="P32" s="21"/>
      <c r="Q32" s="21"/>
      <c r="R32" s="21"/>
    </row>
    <row r="33" spans="1:18" x14ac:dyDescent="0.25">
      <c r="A33" s="29">
        <v>29</v>
      </c>
      <c r="B33" s="25">
        <v>46080</v>
      </c>
      <c r="C33" s="17" t="s">
        <v>163</v>
      </c>
      <c r="D33" s="30">
        <v>400</v>
      </c>
      <c r="E33" s="18"/>
      <c r="F33" s="31" t="s">
        <v>31</v>
      </c>
      <c r="G33" s="20" t="s">
        <v>32</v>
      </c>
      <c r="H33" s="14" t="s">
        <v>33</v>
      </c>
      <c r="I33" s="23" t="s">
        <v>150</v>
      </c>
      <c r="J33" s="24"/>
      <c r="K33" s="21" t="s">
        <v>37</v>
      </c>
      <c r="L33" s="24" t="s">
        <v>44</v>
      </c>
      <c r="M33" s="24"/>
      <c r="N33" s="24"/>
      <c r="O33" s="24"/>
      <c r="P33" s="24"/>
      <c r="Q33" s="24"/>
      <c r="R33" s="24"/>
    </row>
    <row r="34" spans="1:18" ht="15" customHeight="1" x14ac:dyDescent="0.25">
      <c r="A34" s="15">
        <v>33</v>
      </c>
      <c r="B34" s="16">
        <v>46090</v>
      </c>
      <c r="C34" s="26" t="s">
        <v>48</v>
      </c>
      <c r="D34" s="18">
        <v>105</v>
      </c>
      <c r="E34" s="18"/>
      <c r="F34" s="27" t="s">
        <v>31</v>
      </c>
      <c r="G34" s="20" t="s">
        <v>32</v>
      </c>
      <c r="H34" s="14" t="s">
        <v>33</v>
      </c>
      <c r="I34" s="21" t="s">
        <v>150</v>
      </c>
      <c r="J34" s="22"/>
      <c r="K34" s="21" t="s">
        <v>37</v>
      </c>
      <c r="L34" s="21" t="s">
        <v>40</v>
      </c>
      <c r="M34" s="21"/>
      <c r="N34" s="21"/>
      <c r="O34" s="21"/>
      <c r="P34" s="21"/>
      <c r="Q34" s="21"/>
      <c r="R34" s="21"/>
    </row>
    <row r="35" spans="1:18" ht="15" customHeight="1" x14ac:dyDescent="0.25">
      <c r="A35" s="29">
        <v>34</v>
      </c>
      <c r="B35" s="25">
        <v>46090</v>
      </c>
      <c r="C35" s="17" t="s">
        <v>48</v>
      </c>
      <c r="D35" s="30">
        <v>140</v>
      </c>
      <c r="E35" s="18"/>
      <c r="F35" s="31" t="s">
        <v>31</v>
      </c>
      <c r="G35" s="20" t="s">
        <v>32</v>
      </c>
      <c r="H35" s="14" t="s">
        <v>33</v>
      </c>
      <c r="I35" s="23" t="s">
        <v>150</v>
      </c>
      <c r="J35" s="24"/>
      <c r="K35" s="21" t="s">
        <v>37</v>
      </c>
      <c r="L35" s="24" t="s">
        <v>38</v>
      </c>
      <c r="M35" s="24"/>
      <c r="N35" s="24"/>
      <c r="O35" s="24"/>
      <c r="P35" s="24"/>
      <c r="Q35" s="24"/>
      <c r="R35" s="24"/>
    </row>
    <row r="36" spans="1:18" x14ac:dyDescent="0.25">
      <c r="A36" s="15">
        <v>40</v>
      </c>
      <c r="B36" s="16">
        <v>46090</v>
      </c>
      <c r="C36" s="26" t="s">
        <v>161</v>
      </c>
      <c r="D36" s="18">
        <v>347.04</v>
      </c>
      <c r="E36" s="18"/>
      <c r="F36" s="27" t="s">
        <v>31</v>
      </c>
      <c r="G36" s="20" t="s">
        <v>32</v>
      </c>
      <c r="H36" s="14" t="s">
        <v>33</v>
      </c>
      <c r="I36" s="21" t="s">
        <v>150</v>
      </c>
      <c r="J36" s="22"/>
      <c r="K36" s="21" t="s">
        <v>43</v>
      </c>
      <c r="L36" s="21"/>
      <c r="M36" s="21"/>
      <c r="N36" s="21"/>
      <c r="O36" s="21"/>
      <c r="P36" s="21"/>
      <c r="Q36" s="21"/>
      <c r="R36" s="21"/>
    </row>
    <row r="37" spans="1:18" x14ac:dyDescent="0.25">
      <c r="A37" s="29">
        <v>46</v>
      </c>
      <c r="B37" s="25">
        <v>46093</v>
      </c>
      <c r="C37" s="17" t="s">
        <v>164</v>
      </c>
      <c r="D37" s="30">
        <v>400</v>
      </c>
      <c r="E37" s="18"/>
      <c r="F37" s="31" t="s">
        <v>31</v>
      </c>
      <c r="G37" s="20" t="s">
        <v>32</v>
      </c>
      <c r="H37" s="14" t="s">
        <v>33</v>
      </c>
      <c r="I37" s="23" t="s">
        <v>150</v>
      </c>
      <c r="J37" s="24"/>
      <c r="K37" s="21" t="s">
        <v>37</v>
      </c>
      <c r="L37" s="24" t="s">
        <v>70</v>
      </c>
      <c r="M37" s="24"/>
      <c r="N37" s="24"/>
      <c r="O37" s="24"/>
      <c r="P37" s="24"/>
      <c r="Q37" s="24"/>
      <c r="R37" s="24"/>
    </row>
    <row r="38" spans="1:18" ht="15" customHeight="1" x14ac:dyDescent="0.25">
      <c r="A38" s="15"/>
      <c r="B38" s="28"/>
      <c r="C38" s="26"/>
      <c r="D38" s="18"/>
      <c r="E38" s="18"/>
      <c r="F38" s="27"/>
      <c r="G38" s="20"/>
      <c r="H38" s="14"/>
      <c r="I38" s="21"/>
      <c r="J38" s="22"/>
      <c r="K38" s="21"/>
      <c r="L38" s="21"/>
      <c r="M38" s="21"/>
      <c r="N38" s="21"/>
      <c r="O38" s="21"/>
      <c r="P38" s="21"/>
      <c r="Q38" s="21"/>
      <c r="R38" s="21"/>
    </row>
    <row r="39" spans="1:18" ht="15" customHeight="1" x14ac:dyDescent="0.25">
      <c r="A39" s="29"/>
      <c r="B39" s="25"/>
      <c r="C39" s="17"/>
      <c r="D39" s="30"/>
      <c r="E39" s="18"/>
      <c r="F39" s="31"/>
      <c r="G39" s="20"/>
      <c r="H39" s="14"/>
      <c r="I39" s="23"/>
      <c r="J39" s="24"/>
      <c r="K39" s="21"/>
      <c r="L39" s="24"/>
      <c r="M39" s="24"/>
      <c r="N39" s="24"/>
      <c r="O39" s="24"/>
      <c r="P39" s="24"/>
      <c r="Q39" s="24"/>
      <c r="R39" s="24"/>
    </row>
    <row r="40" spans="1:18" ht="15" customHeight="1" x14ac:dyDescent="0.25">
      <c r="A40" s="15"/>
      <c r="B40" s="28"/>
      <c r="C40" s="26"/>
      <c r="D40" s="18"/>
      <c r="E40" s="18"/>
      <c r="F40" s="27"/>
      <c r="G40" s="20"/>
      <c r="H40" s="14"/>
      <c r="I40" s="21"/>
      <c r="J40" s="22"/>
      <c r="K40" s="21"/>
      <c r="L40" s="21"/>
      <c r="M40" s="21"/>
      <c r="N40" s="21"/>
      <c r="O40" s="21"/>
      <c r="P40" s="21"/>
      <c r="Q40" s="21"/>
      <c r="R40" s="21"/>
    </row>
    <row r="41" spans="1:18" ht="15" customHeight="1" x14ac:dyDescent="0.25">
      <c r="A41" s="29"/>
      <c r="B41" s="25"/>
      <c r="C41" s="17"/>
      <c r="D41" s="30"/>
      <c r="E41" s="18"/>
      <c r="F41" s="31"/>
      <c r="G41" s="20"/>
      <c r="H41" s="14"/>
      <c r="I41" s="23"/>
      <c r="J41" s="24"/>
      <c r="K41" s="21"/>
      <c r="L41" s="24"/>
      <c r="M41" s="24"/>
      <c r="N41" s="24"/>
      <c r="O41" s="24"/>
      <c r="P41" s="24"/>
      <c r="Q41" s="24"/>
      <c r="R41" s="24"/>
    </row>
    <row r="42" spans="1:18" ht="15" customHeight="1" x14ac:dyDescent="0.25">
      <c r="A42" s="15"/>
      <c r="B42" s="28"/>
      <c r="C42" s="26"/>
      <c r="D42" s="18"/>
      <c r="E42" s="18"/>
      <c r="F42" s="27"/>
      <c r="G42" s="20"/>
      <c r="H42" s="14"/>
      <c r="I42" s="21"/>
      <c r="J42" s="22"/>
      <c r="K42" s="21"/>
      <c r="L42" s="21"/>
      <c r="M42" s="21"/>
      <c r="N42" s="21"/>
      <c r="O42" s="21"/>
      <c r="P42" s="21"/>
      <c r="Q42" s="21"/>
      <c r="R42" s="21"/>
    </row>
    <row r="43" spans="1:18" ht="15" customHeight="1" x14ac:dyDescent="0.25">
      <c r="A43" s="29"/>
      <c r="B43" s="25"/>
      <c r="C43" s="17"/>
      <c r="D43" s="30"/>
      <c r="E43" s="18"/>
      <c r="F43" s="31"/>
      <c r="G43" s="20"/>
      <c r="H43" s="14"/>
      <c r="I43" s="23"/>
      <c r="J43" s="24"/>
      <c r="K43" s="21"/>
      <c r="L43" s="24"/>
      <c r="M43" s="24"/>
      <c r="N43" s="24"/>
      <c r="O43" s="24"/>
      <c r="P43" s="24"/>
      <c r="Q43" s="24"/>
      <c r="R43" s="24"/>
    </row>
    <row r="44" spans="1:18" ht="15" customHeight="1" x14ac:dyDescent="0.25">
      <c r="A44" s="15"/>
      <c r="B44" s="28"/>
      <c r="C44" s="26"/>
      <c r="D44" s="18"/>
      <c r="E44" s="18"/>
      <c r="F44" s="27"/>
      <c r="G44" s="20"/>
      <c r="H44" s="14"/>
      <c r="I44" s="21"/>
      <c r="J44" s="22"/>
      <c r="K44" s="21"/>
      <c r="L44" s="21"/>
      <c r="M44" s="21"/>
      <c r="N44" s="21"/>
      <c r="O44" s="21"/>
      <c r="P44" s="21"/>
      <c r="Q44" s="21"/>
      <c r="R44" s="21"/>
    </row>
    <row r="45" spans="1:18" ht="15" customHeight="1" x14ac:dyDescent="0.25">
      <c r="A45" s="29"/>
      <c r="B45" s="25"/>
      <c r="C45" s="17"/>
      <c r="D45" s="30"/>
      <c r="E45" s="18"/>
      <c r="F45" s="31"/>
      <c r="G45" s="20"/>
      <c r="H45" s="14"/>
      <c r="I45" s="23"/>
      <c r="J45" s="24"/>
      <c r="K45" s="21"/>
      <c r="L45" s="24"/>
      <c r="M45" s="24"/>
      <c r="N45" s="24"/>
      <c r="O45" s="24"/>
      <c r="P45" s="24"/>
      <c r="Q45" s="24"/>
      <c r="R45" s="24"/>
    </row>
    <row r="46" spans="1:18" ht="15" customHeight="1" x14ac:dyDescent="0.25">
      <c r="A46" s="15"/>
      <c r="B46" s="28"/>
      <c r="C46" s="26"/>
      <c r="D46" s="18"/>
      <c r="E46" s="18"/>
      <c r="F46" s="27"/>
      <c r="G46" s="20"/>
      <c r="H46" s="14"/>
      <c r="I46" s="21"/>
      <c r="J46" s="22"/>
      <c r="K46" s="21"/>
      <c r="L46" s="21"/>
      <c r="M46" s="21"/>
      <c r="N46" s="21"/>
      <c r="O46" s="21"/>
      <c r="P46" s="21"/>
      <c r="Q46" s="21"/>
      <c r="R46" s="21"/>
    </row>
    <row r="47" spans="1:18" ht="15" customHeight="1" x14ac:dyDescent="0.25">
      <c r="A47" s="29"/>
      <c r="B47" s="25"/>
      <c r="C47" s="17"/>
      <c r="D47" s="30"/>
      <c r="E47" s="18"/>
      <c r="F47" s="31"/>
      <c r="G47" s="20"/>
      <c r="H47" s="14"/>
      <c r="I47" s="23"/>
      <c r="J47" s="24"/>
      <c r="K47" s="21"/>
      <c r="L47" s="24"/>
      <c r="M47" s="24"/>
      <c r="N47" s="24"/>
      <c r="O47" s="24"/>
      <c r="P47" s="24"/>
      <c r="Q47" s="24"/>
      <c r="R47" s="24"/>
    </row>
    <row r="48" spans="1:18" ht="15" customHeight="1" x14ac:dyDescent="0.25">
      <c r="A48" s="15"/>
      <c r="B48" s="28"/>
      <c r="C48" s="26"/>
      <c r="D48" s="18"/>
      <c r="E48" s="18"/>
      <c r="F48" s="27"/>
      <c r="G48" s="20"/>
      <c r="H48" s="14"/>
      <c r="I48" s="21"/>
      <c r="J48" s="22"/>
      <c r="K48" s="21"/>
      <c r="L48" s="21"/>
      <c r="M48" s="21"/>
      <c r="N48" s="21"/>
      <c r="O48" s="21"/>
      <c r="P48" s="21"/>
      <c r="Q48" s="21"/>
      <c r="R48" s="21"/>
    </row>
    <row r="49" spans="1:18" ht="15" customHeight="1" x14ac:dyDescent="0.25">
      <c r="A49" s="29"/>
      <c r="B49" s="25"/>
      <c r="C49" s="17"/>
      <c r="D49" s="30"/>
      <c r="E49" s="18"/>
      <c r="F49" s="31"/>
      <c r="G49" s="20"/>
      <c r="H49" s="14"/>
      <c r="I49" s="23"/>
      <c r="J49" s="24"/>
      <c r="K49" s="21"/>
      <c r="L49" s="24"/>
      <c r="M49" s="24"/>
      <c r="N49" s="24"/>
      <c r="O49" s="24"/>
      <c r="P49" s="24"/>
      <c r="Q49" s="24"/>
      <c r="R49" s="24"/>
    </row>
    <row r="50" spans="1:18" ht="15" customHeight="1" x14ac:dyDescent="0.25">
      <c r="A50" s="15"/>
      <c r="B50" s="28"/>
      <c r="C50" s="26"/>
      <c r="D50" s="18"/>
      <c r="E50" s="18"/>
      <c r="F50" s="27"/>
      <c r="G50" s="20"/>
      <c r="H50" s="14"/>
      <c r="I50" s="21"/>
      <c r="J50" s="22"/>
      <c r="K50" s="21"/>
      <c r="L50" s="21"/>
      <c r="M50" s="21"/>
      <c r="N50" s="21"/>
      <c r="O50" s="21"/>
      <c r="P50" s="21"/>
      <c r="Q50" s="21"/>
      <c r="R50" s="21"/>
    </row>
    <row r="51" spans="1:18" ht="15" customHeight="1" x14ac:dyDescent="0.25">
      <c r="A51" s="29"/>
      <c r="B51" s="25"/>
      <c r="C51" s="17"/>
      <c r="D51" s="30"/>
      <c r="E51" s="18"/>
      <c r="F51" s="31"/>
      <c r="G51" s="20"/>
      <c r="H51" s="14"/>
      <c r="I51" s="23"/>
      <c r="J51" s="24"/>
      <c r="K51" s="21"/>
      <c r="L51" s="24"/>
      <c r="M51" s="24"/>
      <c r="N51" s="24"/>
      <c r="O51" s="24"/>
      <c r="P51" s="24"/>
      <c r="Q51" s="24"/>
      <c r="R51" s="24"/>
    </row>
    <row r="52" spans="1:18" ht="15" customHeight="1" x14ac:dyDescent="0.25">
      <c r="A52" s="15"/>
      <c r="B52" s="28"/>
      <c r="C52" s="26"/>
      <c r="D52" s="18"/>
      <c r="E52" s="18"/>
      <c r="F52" s="27"/>
      <c r="G52" s="20"/>
      <c r="H52" s="14"/>
      <c r="I52" s="21"/>
      <c r="J52" s="22"/>
      <c r="K52" s="21"/>
      <c r="L52" s="21"/>
      <c r="M52" s="21"/>
      <c r="N52" s="21"/>
      <c r="O52" s="21"/>
      <c r="P52" s="21"/>
      <c r="Q52" s="21"/>
      <c r="R52" s="21"/>
    </row>
    <row r="53" spans="1:18" ht="15" customHeight="1" x14ac:dyDescent="0.25">
      <c r="A53" s="29"/>
      <c r="B53" s="25"/>
      <c r="C53" s="17"/>
      <c r="D53" s="30"/>
      <c r="E53" s="18"/>
      <c r="F53" s="31"/>
      <c r="G53" s="20"/>
      <c r="H53" s="14"/>
      <c r="I53" s="23"/>
      <c r="J53" s="24"/>
      <c r="K53" s="21"/>
      <c r="L53" s="24"/>
      <c r="M53" s="24"/>
      <c r="N53" s="24"/>
      <c r="O53" s="24"/>
      <c r="P53" s="24"/>
      <c r="Q53" s="24"/>
      <c r="R53" s="24"/>
    </row>
    <row r="54" spans="1:18" ht="15" customHeight="1" x14ac:dyDescent="0.25">
      <c r="A54" s="15"/>
      <c r="B54" s="28"/>
      <c r="C54" s="26"/>
      <c r="D54" s="18"/>
      <c r="E54" s="18"/>
      <c r="F54" s="27"/>
      <c r="G54" s="20"/>
      <c r="H54" s="14"/>
      <c r="I54" s="21"/>
      <c r="J54" s="22"/>
      <c r="K54" s="21"/>
      <c r="L54" s="21"/>
      <c r="M54" s="21"/>
      <c r="N54" s="21"/>
      <c r="O54" s="21"/>
      <c r="P54" s="21"/>
      <c r="Q54" s="21"/>
      <c r="R54" s="21"/>
    </row>
    <row r="55" spans="1:18" ht="15" customHeight="1" x14ac:dyDescent="0.25">
      <c r="A55" s="29"/>
      <c r="B55" s="25"/>
      <c r="C55" s="17"/>
      <c r="D55" s="30"/>
      <c r="E55" s="18"/>
      <c r="F55" s="31"/>
      <c r="G55" s="20"/>
      <c r="H55" s="14"/>
      <c r="I55" s="23"/>
      <c r="J55" s="24"/>
      <c r="K55" s="21"/>
      <c r="L55" s="24"/>
      <c r="M55" s="24"/>
      <c r="N55" s="24"/>
      <c r="O55" s="24"/>
      <c r="P55" s="24"/>
      <c r="Q55" s="24"/>
      <c r="R55" s="24"/>
    </row>
    <row r="56" spans="1:18" ht="15" customHeight="1" x14ac:dyDescent="0.25">
      <c r="A56" s="15"/>
      <c r="B56" s="28"/>
      <c r="C56" s="26"/>
      <c r="D56" s="18"/>
      <c r="E56" s="18"/>
      <c r="F56" s="27"/>
      <c r="G56" s="20"/>
      <c r="H56" s="14"/>
      <c r="I56" s="21"/>
      <c r="J56" s="22"/>
      <c r="K56" s="21"/>
      <c r="L56" s="21"/>
      <c r="M56" s="21"/>
      <c r="N56" s="21"/>
      <c r="O56" s="21"/>
      <c r="P56" s="21"/>
      <c r="Q56" s="21"/>
      <c r="R56" s="21"/>
    </row>
    <row r="57" spans="1:18" ht="15" customHeight="1" x14ac:dyDescent="0.25">
      <c r="A57" s="29"/>
      <c r="B57" s="25"/>
      <c r="C57" s="17"/>
      <c r="D57" s="30"/>
      <c r="E57" s="18"/>
      <c r="F57" s="31"/>
      <c r="G57" s="20"/>
      <c r="H57" s="14"/>
      <c r="I57" s="23"/>
      <c r="J57" s="24"/>
      <c r="K57" s="21"/>
      <c r="L57" s="24"/>
      <c r="M57" s="24"/>
      <c r="N57" s="24"/>
      <c r="O57" s="24"/>
      <c r="P57" s="24"/>
      <c r="Q57" s="24"/>
      <c r="R57" s="24"/>
    </row>
    <row r="58" spans="1:18" ht="15" customHeight="1" x14ac:dyDescent="0.25">
      <c r="A58" s="15"/>
      <c r="B58" s="28"/>
      <c r="C58" s="26"/>
      <c r="D58" s="18"/>
      <c r="E58" s="18"/>
      <c r="F58" s="27"/>
      <c r="G58" s="20"/>
      <c r="H58" s="14"/>
      <c r="I58" s="21"/>
      <c r="J58" s="22"/>
      <c r="K58" s="21"/>
      <c r="L58" s="21"/>
      <c r="M58" s="21"/>
      <c r="N58" s="21"/>
      <c r="O58" s="21"/>
      <c r="P58" s="21"/>
      <c r="Q58" s="21"/>
      <c r="R58" s="21"/>
    </row>
    <row r="59" spans="1:18" ht="15" customHeight="1" x14ac:dyDescent="0.25">
      <c r="A59" s="29"/>
      <c r="B59" s="25"/>
      <c r="C59" s="17"/>
      <c r="D59" s="30"/>
      <c r="E59" s="18"/>
      <c r="F59" s="31"/>
      <c r="G59" s="20"/>
      <c r="H59" s="14"/>
      <c r="I59" s="23"/>
      <c r="J59" s="24"/>
      <c r="K59" s="21"/>
      <c r="L59" s="24"/>
      <c r="M59" s="24"/>
      <c r="N59" s="24"/>
      <c r="O59" s="24"/>
      <c r="P59" s="24"/>
      <c r="Q59" s="24"/>
      <c r="R59" s="24"/>
    </row>
    <row r="60" spans="1:18" ht="15" customHeight="1" x14ac:dyDescent="0.25">
      <c r="A60" s="15"/>
      <c r="B60" s="28"/>
      <c r="C60" s="26"/>
      <c r="D60" s="18"/>
      <c r="E60" s="18"/>
      <c r="F60" s="27"/>
      <c r="G60" s="20"/>
      <c r="H60" s="14"/>
      <c r="I60" s="21"/>
      <c r="J60" s="22"/>
      <c r="K60" s="21"/>
      <c r="L60" s="21"/>
      <c r="M60" s="21"/>
      <c r="N60" s="21"/>
      <c r="O60" s="21"/>
      <c r="P60" s="21"/>
      <c r="Q60" s="21"/>
      <c r="R60" s="21"/>
    </row>
    <row r="61" spans="1:18" ht="15" customHeight="1" x14ac:dyDescent="0.25">
      <c r="A61" s="29"/>
      <c r="B61" s="25"/>
      <c r="C61" s="17"/>
      <c r="D61" s="30"/>
      <c r="E61" s="18"/>
      <c r="F61" s="31"/>
      <c r="G61" s="20"/>
      <c r="H61" s="14"/>
      <c r="I61" s="23"/>
      <c r="J61" s="24"/>
      <c r="K61" s="21"/>
      <c r="L61" s="24"/>
      <c r="M61" s="24"/>
      <c r="N61" s="24"/>
      <c r="O61" s="24"/>
      <c r="P61" s="24"/>
      <c r="Q61" s="24"/>
      <c r="R61" s="24"/>
    </row>
    <row r="62" spans="1:18" ht="15" customHeight="1" x14ac:dyDescent="0.25">
      <c r="A62" s="15"/>
      <c r="B62" s="28"/>
      <c r="C62" s="26"/>
      <c r="D62" s="18"/>
      <c r="E62" s="18"/>
      <c r="F62" s="27"/>
      <c r="G62" s="20"/>
      <c r="H62" s="14"/>
      <c r="I62" s="21"/>
      <c r="J62" s="22"/>
      <c r="K62" s="21"/>
      <c r="L62" s="21"/>
      <c r="M62" s="21"/>
      <c r="N62" s="21"/>
      <c r="O62" s="21"/>
      <c r="P62" s="21"/>
      <c r="Q62" s="21"/>
      <c r="R62" s="21"/>
    </row>
    <row r="63" spans="1:18" ht="15" customHeight="1" x14ac:dyDescent="0.25">
      <c r="A63" s="29"/>
      <c r="B63" s="25"/>
      <c r="C63" s="17"/>
      <c r="D63" s="30"/>
      <c r="E63" s="18"/>
      <c r="F63" s="31"/>
      <c r="G63" s="20"/>
      <c r="H63" s="14"/>
      <c r="I63" s="23"/>
      <c r="J63" s="24"/>
      <c r="K63" s="21"/>
      <c r="L63" s="24"/>
      <c r="M63" s="24"/>
      <c r="N63" s="24"/>
      <c r="O63" s="24"/>
      <c r="P63" s="24"/>
      <c r="Q63" s="24"/>
      <c r="R63" s="24"/>
    </row>
    <row r="64" spans="1:18" ht="15" customHeight="1" x14ac:dyDescent="0.25">
      <c r="A64" s="15"/>
      <c r="B64" s="28"/>
      <c r="C64" s="26"/>
      <c r="D64" s="18"/>
      <c r="E64" s="18"/>
      <c r="F64" s="27"/>
      <c r="G64" s="20"/>
      <c r="H64" s="14"/>
      <c r="I64" s="21"/>
      <c r="J64" s="22"/>
      <c r="K64" s="21"/>
      <c r="L64" s="21"/>
      <c r="M64" s="21"/>
      <c r="N64" s="21"/>
      <c r="O64" s="21"/>
      <c r="P64" s="21"/>
      <c r="Q64" s="21"/>
      <c r="R64" s="21"/>
    </row>
    <row r="65" spans="1:18" ht="15" customHeight="1" x14ac:dyDescent="0.25">
      <c r="A65" s="29"/>
      <c r="B65" s="25"/>
      <c r="C65" s="17"/>
      <c r="D65" s="30"/>
      <c r="E65" s="18"/>
      <c r="F65" s="31"/>
      <c r="G65" s="20"/>
      <c r="H65" s="14"/>
      <c r="I65" s="23"/>
      <c r="J65" s="24"/>
      <c r="K65" s="21"/>
      <c r="L65" s="24"/>
      <c r="M65" s="24"/>
      <c r="N65" s="24"/>
      <c r="O65" s="24"/>
      <c r="P65" s="24"/>
      <c r="Q65" s="24"/>
      <c r="R65" s="24"/>
    </row>
    <row r="66" spans="1:18" ht="15" customHeight="1" x14ac:dyDescent="0.25">
      <c r="A66" s="15"/>
      <c r="B66" s="28"/>
      <c r="C66" s="26"/>
      <c r="D66" s="18"/>
      <c r="E66" s="18"/>
      <c r="F66" s="27"/>
      <c r="G66" s="20"/>
      <c r="H66" s="14"/>
      <c r="I66" s="21"/>
      <c r="J66" s="22"/>
      <c r="K66" s="21"/>
      <c r="L66" s="21"/>
      <c r="M66" s="21"/>
      <c r="N66" s="21"/>
      <c r="O66" s="21"/>
      <c r="P66" s="21"/>
      <c r="Q66" s="21"/>
      <c r="R66" s="21"/>
    </row>
    <row r="67" spans="1:18" ht="15" customHeight="1" x14ac:dyDescent="0.25">
      <c r="A67" s="29"/>
      <c r="B67" s="25"/>
      <c r="C67" s="17"/>
      <c r="D67" s="30"/>
      <c r="E67" s="18"/>
      <c r="F67" s="31"/>
      <c r="G67" s="20"/>
      <c r="H67" s="14"/>
      <c r="I67" s="23"/>
      <c r="J67" s="24"/>
      <c r="K67" s="21"/>
      <c r="L67" s="24"/>
      <c r="M67" s="24"/>
      <c r="N67" s="24"/>
      <c r="O67" s="24"/>
      <c r="P67" s="24"/>
      <c r="Q67" s="24"/>
      <c r="R67" s="24"/>
    </row>
    <row r="68" spans="1:18" ht="15" customHeight="1" x14ac:dyDescent="0.25">
      <c r="A68" s="15"/>
      <c r="B68" s="28"/>
      <c r="C68" s="26"/>
      <c r="D68" s="18"/>
      <c r="E68" s="18"/>
      <c r="F68" s="27"/>
      <c r="G68" s="20"/>
      <c r="H68" s="14"/>
      <c r="I68" s="21"/>
      <c r="J68" s="22"/>
      <c r="K68" s="21"/>
      <c r="L68" s="21"/>
      <c r="M68" s="21"/>
      <c r="N68" s="21"/>
      <c r="O68" s="21"/>
      <c r="P68" s="21"/>
      <c r="Q68" s="21"/>
      <c r="R68" s="21"/>
    </row>
    <row r="69" spans="1:18" ht="15" customHeight="1" x14ac:dyDescent="0.25">
      <c r="A69" s="29"/>
      <c r="B69" s="25"/>
      <c r="C69" s="17"/>
      <c r="D69" s="30"/>
      <c r="E69" s="18"/>
      <c r="F69" s="31"/>
      <c r="G69" s="20"/>
      <c r="H69" s="14"/>
      <c r="I69" s="23"/>
      <c r="J69" s="24"/>
      <c r="K69" s="21"/>
      <c r="L69" s="24"/>
      <c r="M69" s="24"/>
      <c r="N69" s="24"/>
      <c r="O69" s="24"/>
      <c r="P69" s="24"/>
      <c r="Q69" s="24"/>
      <c r="R69" s="24"/>
    </row>
    <row r="70" spans="1:18" ht="15" customHeight="1" x14ac:dyDescent="0.25">
      <c r="A70" s="15"/>
      <c r="B70" s="28"/>
      <c r="C70" s="26"/>
      <c r="D70" s="18"/>
      <c r="E70" s="18"/>
      <c r="F70" s="27"/>
      <c r="G70" s="20"/>
      <c r="H70" s="14"/>
      <c r="I70" s="21"/>
      <c r="J70" s="22"/>
      <c r="K70" s="21"/>
      <c r="L70" s="21"/>
      <c r="M70" s="21"/>
      <c r="N70" s="21"/>
      <c r="O70" s="21"/>
      <c r="P70" s="21"/>
      <c r="Q70" s="21"/>
      <c r="R70" s="21"/>
    </row>
    <row r="71" spans="1:18" ht="15" customHeight="1" x14ac:dyDescent="0.25">
      <c r="A71" s="29"/>
      <c r="B71" s="25"/>
      <c r="C71" s="17"/>
      <c r="D71" s="30"/>
      <c r="E71" s="18"/>
      <c r="F71" s="31"/>
      <c r="G71" s="20"/>
      <c r="H71" s="14"/>
      <c r="I71" s="23"/>
      <c r="J71" s="24"/>
      <c r="K71" s="21"/>
      <c r="L71" s="24"/>
      <c r="M71" s="24"/>
      <c r="N71" s="24"/>
      <c r="O71" s="24"/>
      <c r="P71" s="24"/>
      <c r="Q71" s="24"/>
      <c r="R71" s="24"/>
    </row>
    <row r="72" spans="1:18" ht="15" customHeight="1" x14ac:dyDescent="0.25">
      <c r="A72" s="15"/>
      <c r="B72" s="28"/>
      <c r="C72" s="26"/>
      <c r="D72" s="18"/>
      <c r="E72" s="18"/>
      <c r="F72" s="27"/>
      <c r="G72" s="20"/>
      <c r="H72" s="14"/>
      <c r="I72" s="21"/>
      <c r="J72" s="22"/>
      <c r="K72" s="21"/>
      <c r="L72" s="21"/>
      <c r="M72" s="21"/>
      <c r="N72" s="21"/>
      <c r="O72" s="21"/>
      <c r="P72" s="21"/>
      <c r="Q72" s="21"/>
      <c r="R72" s="21"/>
    </row>
    <row r="73" spans="1:18" ht="15" customHeight="1" x14ac:dyDescent="0.25">
      <c r="A73" s="29"/>
      <c r="B73" s="25"/>
      <c r="C73" s="17"/>
      <c r="D73" s="30"/>
      <c r="E73" s="18"/>
      <c r="F73" s="31"/>
      <c r="G73" s="20"/>
      <c r="H73" s="14"/>
      <c r="I73" s="23"/>
      <c r="J73" s="24"/>
      <c r="K73" s="21"/>
      <c r="L73" s="24"/>
      <c r="M73" s="24"/>
      <c r="N73" s="24"/>
      <c r="O73" s="24"/>
      <c r="P73" s="24"/>
      <c r="Q73" s="24"/>
      <c r="R73" s="24"/>
    </row>
    <row r="74" spans="1:18" ht="15" customHeight="1" x14ac:dyDescent="0.25">
      <c r="A74" s="15"/>
      <c r="B74" s="28"/>
      <c r="C74" s="26"/>
      <c r="D74" s="18"/>
      <c r="E74" s="18"/>
      <c r="F74" s="27"/>
      <c r="G74" s="20"/>
      <c r="H74" s="14"/>
      <c r="I74" s="21"/>
      <c r="J74" s="22"/>
      <c r="K74" s="21"/>
      <c r="L74" s="21"/>
      <c r="M74" s="21"/>
      <c r="N74" s="21"/>
      <c r="O74" s="21"/>
      <c r="P74" s="21"/>
      <c r="Q74" s="21"/>
      <c r="R74" s="21"/>
    </row>
    <row r="75" spans="1:18" ht="15" customHeight="1" x14ac:dyDescent="0.25">
      <c r="A75" s="29"/>
      <c r="B75" s="25"/>
      <c r="C75" s="17"/>
      <c r="D75" s="30"/>
      <c r="E75" s="18"/>
      <c r="F75" s="31"/>
      <c r="G75" s="20"/>
      <c r="H75" s="14"/>
      <c r="I75" s="23"/>
      <c r="J75" s="24"/>
      <c r="K75" s="21"/>
      <c r="L75" s="24"/>
      <c r="M75" s="24"/>
      <c r="N75" s="24"/>
      <c r="O75" s="24"/>
      <c r="P75" s="24"/>
      <c r="Q75" s="24"/>
      <c r="R75" s="24"/>
    </row>
    <row r="76" spans="1:18" ht="15" customHeight="1" x14ac:dyDescent="0.25">
      <c r="A76" s="15"/>
      <c r="B76" s="28"/>
      <c r="C76" s="26"/>
      <c r="D76" s="18"/>
      <c r="E76" s="18"/>
      <c r="F76" s="27"/>
      <c r="G76" s="20"/>
      <c r="H76" s="14"/>
      <c r="I76" s="21"/>
      <c r="J76" s="22"/>
      <c r="K76" s="21"/>
      <c r="L76" s="21"/>
      <c r="M76" s="21"/>
      <c r="N76" s="21"/>
      <c r="O76" s="21"/>
      <c r="P76" s="21"/>
      <c r="Q76" s="21"/>
      <c r="R76" s="21"/>
    </row>
    <row r="77" spans="1:18" ht="15" customHeight="1" x14ac:dyDescent="0.25">
      <c r="A77" s="29"/>
      <c r="B77" s="25"/>
      <c r="C77" s="17"/>
      <c r="D77" s="30"/>
      <c r="E77" s="18"/>
      <c r="F77" s="31"/>
      <c r="G77" s="20"/>
      <c r="H77" s="14"/>
      <c r="I77" s="23"/>
      <c r="J77" s="24"/>
      <c r="K77" s="21"/>
      <c r="L77" s="24"/>
      <c r="M77" s="24"/>
      <c r="N77" s="24"/>
      <c r="O77" s="24"/>
      <c r="P77" s="24"/>
      <c r="Q77" s="24"/>
      <c r="R77" s="24"/>
    </row>
    <row r="78" spans="1:18" ht="15" customHeight="1" x14ac:dyDescent="0.25">
      <c r="A78" s="15"/>
      <c r="B78" s="28"/>
      <c r="C78" s="26"/>
      <c r="D78" s="18"/>
      <c r="E78" s="18"/>
      <c r="F78" s="27"/>
      <c r="G78" s="20"/>
      <c r="H78" s="14"/>
      <c r="I78" s="21"/>
      <c r="J78" s="22"/>
      <c r="K78" s="21"/>
      <c r="L78" s="21"/>
      <c r="M78" s="21"/>
      <c r="N78" s="21"/>
      <c r="O78" s="21"/>
      <c r="P78" s="21"/>
      <c r="Q78" s="21"/>
      <c r="R78" s="21"/>
    </row>
    <row r="79" spans="1:18" ht="15" customHeight="1" x14ac:dyDescent="0.25">
      <c r="A79" s="29"/>
      <c r="B79" s="25"/>
      <c r="C79" s="17"/>
      <c r="D79" s="30"/>
      <c r="E79" s="18"/>
      <c r="F79" s="31"/>
      <c r="G79" s="20"/>
      <c r="H79" s="14"/>
      <c r="I79" s="23"/>
      <c r="J79" s="24"/>
      <c r="K79" s="21"/>
      <c r="L79" s="24"/>
      <c r="M79" s="24"/>
      <c r="N79" s="24"/>
      <c r="O79" s="24"/>
      <c r="P79" s="24"/>
      <c r="Q79" s="24"/>
      <c r="R79" s="24"/>
    </row>
    <row r="80" spans="1:18" ht="15" customHeight="1" x14ac:dyDescent="0.25">
      <c r="A80" s="15"/>
      <c r="B80" s="28"/>
      <c r="C80" s="26"/>
      <c r="D80" s="18"/>
      <c r="E80" s="18"/>
      <c r="F80" s="27"/>
      <c r="G80" s="20"/>
      <c r="H80" s="14"/>
      <c r="I80" s="21"/>
      <c r="J80" s="22"/>
      <c r="K80" s="21"/>
      <c r="L80" s="21"/>
      <c r="M80" s="21"/>
      <c r="N80" s="21"/>
      <c r="O80" s="21"/>
      <c r="P80" s="21"/>
      <c r="Q80" s="21"/>
      <c r="R80" s="21"/>
    </row>
    <row r="81" spans="1:18" ht="15" customHeight="1" x14ac:dyDescent="0.25">
      <c r="A81" s="29"/>
      <c r="B81" s="25"/>
      <c r="C81" s="17"/>
      <c r="D81" s="30"/>
      <c r="E81" s="18"/>
      <c r="F81" s="31"/>
      <c r="G81" s="20"/>
      <c r="H81" s="14"/>
      <c r="I81" s="23"/>
      <c r="J81" s="24"/>
      <c r="K81" s="21"/>
      <c r="L81" s="24"/>
      <c r="M81" s="24"/>
      <c r="N81" s="24"/>
      <c r="O81" s="24"/>
      <c r="P81" s="24"/>
      <c r="Q81" s="24"/>
      <c r="R81" s="24"/>
    </row>
    <row r="82" spans="1:18" ht="15" customHeight="1" x14ac:dyDescent="0.25">
      <c r="A82" s="15"/>
      <c r="B82" s="28"/>
      <c r="C82" s="26"/>
      <c r="D82" s="18"/>
      <c r="E82" s="18"/>
      <c r="F82" s="27"/>
      <c r="G82" s="20"/>
      <c r="H82" s="14"/>
      <c r="I82" s="21"/>
      <c r="J82" s="22"/>
      <c r="K82" s="21"/>
      <c r="L82" s="21"/>
      <c r="M82" s="21"/>
      <c r="N82" s="21"/>
      <c r="O82" s="21"/>
      <c r="P82" s="21"/>
      <c r="Q82" s="21"/>
      <c r="R82" s="21"/>
    </row>
    <row r="83" spans="1:18" ht="15" customHeight="1" x14ac:dyDescent="0.25">
      <c r="A83" s="29"/>
      <c r="B83" s="25"/>
      <c r="C83" s="17"/>
      <c r="D83" s="30"/>
      <c r="E83" s="18"/>
      <c r="F83" s="31"/>
      <c r="G83" s="20"/>
      <c r="H83" s="14"/>
      <c r="I83" s="23"/>
      <c r="J83" s="24"/>
      <c r="K83" s="21"/>
      <c r="L83" s="24"/>
      <c r="M83" s="24"/>
      <c r="N83" s="24"/>
      <c r="O83" s="24"/>
      <c r="P83" s="24"/>
      <c r="Q83" s="24"/>
      <c r="R83" s="24"/>
    </row>
    <row r="84" spans="1:18" ht="15" customHeight="1" x14ac:dyDescent="0.25">
      <c r="A84" s="15"/>
      <c r="B84" s="28"/>
      <c r="C84" s="26"/>
      <c r="D84" s="18"/>
      <c r="E84" s="18"/>
      <c r="F84" s="27"/>
      <c r="G84" s="20"/>
      <c r="H84" s="14"/>
      <c r="I84" s="21"/>
      <c r="J84" s="22"/>
      <c r="K84" s="21"/>
      <c r="L84" s="21"/>
      <c r="M84" s="21"/>
      <c r="N84" s="21"/>
      <c r="O84" s="21"/>
      <c r="P84" s="21"/>
      <c r="Q84" s="21"/>
      <c r="R84" s="21"/>
    </row>
    <row r="85" spans="1:18" ht="15" customHeight="1" x14ac:dyDescent="0.25">
      <c r="A85" s="29"/>
      <c r="B85" s="25"/>
      <c r="C85" s="17"/>
      <c r="D85" s="30"/>
      <c r="E85" s="18"/>
      <c r="F85" s="31"/>
      <c r="G85" s="20"/>
      <c r="H85" s="14"/>
      <c r="I85" s="23"/>
      <c r="J85" s="24"/>
      <c r="K85" s="21"/>
      <c r="L85" s="24"/>
      <c r="M85" s="24"/>
      <c r="N85" s="24"/>
      <c r="O85" s="24"/>
      <c r="P85" s="24"/>
      <c r="Q85" s="24"/>
      <c r="R85" s="24"/>
    </row>
    <row r="86" spans="1:18" ht="15" customHeight="1" x14ac:dyDescent="0.25">
      <c r="A86" s="15"/>
      <c r="B86" s="28"/>
      <c r="C86" s="26"/>
      <c r="D86" s="18"/>
      <c r="E86" s="18"/>
      <c r="F86" s="27"/>
      <c r="G86" s="20"/>
      <c r="H86" s="14"/>
      <c r="I86" s="21"/>
      <c r="J86" s="22"/>
      <c r="K86" s="21"/>
      <c r="L86" s="21"/>
      <c r="M86" s="21"/>
      <c r="N86" s="21"/>
      <c r="O86" s="21"/>
      <c r="P86" s="21"/>
      <c r="Q86" s="21"/>
      <c r="R86" s="21"/>
    </row>
    <row r="87" spans="1:18" ht="15" customHeight="1" x14ac:dyDescent="0.25">
      <c r="A87" s="29"/>
      <c r="B87" s="25"/>
      <c r="C87" s="17"/>
      <c r="D87" s="30"/>
      <c r="E87" s="18"/>
      <c r="F87" s="31"/>
      <c r="G87" s="20"/>
      <c r="H87" s="14"/>
      <c r="I87" s="23"/>
      <c r="J87" s="24"/>
      <c r="K87" s="21"/>
      <c r="L87" s="24"/>
      <c r="M87" s="24"/>
      <c r="N87" s="24"/>
      <c r="O87" s="24"/>
      <c r="P87" s="24"/>
      <c r="Q87" s="24"/>
      <c r="R87" s="24"/>
    </row>
    <row r="88" spans="1:18" ht="15" customHeight="1" x14ac:dyDescent="0.25">
      <c r="A88" s="15"/>
      <c r="B88" s="28"/>
      <c r="C88" s="26"/>
      <c r="D88" s="18"/>
      <c r="E88" s="18"/>
      <c r="F88" s="27"/>
      <c r="G88" s="20"/>
      <c r="H88" s="14"/>
      <c r="I88" s="21"/>
      <c r="J88" s="22"/>
      <c r="K88" s="21"/>
      <c r="L88" s="21"/>
      <c r="M88" s="21"/>
      <c r="N88" s="21"/>
      <c r="O88" s="21"/>
      <c r="P88" s="21"/>
      <c r="Q88" s="21"/>
      <c r="R88" s="21"/>
    </row>
    <row r="89" spans="1:18" ht="15" customHeight="1" x14ac:dyDescent="0.25">
      <c r="A89" s="29"/>
      <c r="B89" s="25"/>
      <c r="C89" s="17"/>
      <c r="D89" s="30"/>
      <c r="E89" s="18"/>
      <c r="F89" s="31"/>
      <c r="G89" s="20"/>
      <c r="H89" s="14"/>
      <c r="I89" s="23"/>
      <c r="J89" s="24"/>
      <c r="K89" s="21"/>
      <c r="L89" s="24"/>
      <c r="M89" s="24"/>
      <c r="N89" s="24"/>
      <c r="O89" s="24"/>
      <c r="P89" s="24"/>
      <c r="Q89" s="24"/>
      <c r="R89" s="24"/>
    </row>
    <row r="90" spans="1:18" ht="15" customHeight="1" x14ac:dyDescent="0.25">
      <c r="A90" s="15"/>
      <c r="B90" s="28"/>
      <c r="C90" s="26"/>
      <c r="D90" s="18"/>
      <c r="E90" s="18"/>
      <c r="F90" s="27"/>
      <c r="G90" s="20"/>
      <c r="H90" s="14"/>
      <c r="I90" s="21"/>
      <c r="J90" s="22"/>
      <c r="K90" s="21"/>
      <c r="L90" s="21"/>
      <c r="M90" s="21"/>
      <c r="N90" s="21"/>
      <c r="O90" s="21"/>
      <c r="P90" s="21"/>
      <c r="Q90" s="21"/>
      <c r="R90" s="21"/>
    </row>
    <row r="91" spans="1:18" ht="15" customHeight="1" x14ac:dyDescent="0.25">
      <c r="A91" s="29"/>
      <c r="B91" s="25"/>
      <c r="C91" s="17"/>
      <c r="D91" s="30"/>
      <c r="E91" s="18"/>
      <c r="F91" s="31"/>
      <c r="G91" s="20"/>
      <c r="H91" s="14"/>
      <c r="I91" s="23"/>
      <c r="J91" s="24"/>
      <c r="K91" s="21"/>
      <c r="L91" s="24"/>
      <c r="M91" s="24"/>
      <c r="N91" s="24"/>
      <c r="O91" s="24"/>
      <c r="P91" s="24"/>
      <c r="Q91" s="24"/>
      <c r="R91" s="24"/>
    </row>
    <row r="92" spans="1:18" ht="15" customHeight="1" x14ac:dyDescent="0.25">
      <c r="A92" s="15"/>
      <c r="B92" s="28"/>
      <c r="C92" s="26"/>
      <c r="D92" s="18"/>
      <c r="E92" s="18"/>
      <c r="F92" s="27"/>
      <c r="G92" s="20"/>
      <c r="H92" s="14"/>
      <c r="I92" s="21"/>
      <c r="J92" s="22"/>
      <c r="K92" s="21"/>
      <c r="L92" s="21"/>
      <c r="M92" s="21"/>
      <c r="N92" s="21"/>
      <c r="O92" s="21"/>
      <c r="P92" s="21"/>
      <c r="Q92" s="21"/>
      <c r="R92" s="21"/>
    </row>
    <row r="93" spans="1:18" ht="15" customHeight="1" x14ac:dyDescent="0.25">
      <c r="A93" s="29"/>
      <c r="B93" s="25"/>
      <c r="C93" s="17"/>
      <c r="D93" s="30"/>
      <c r="E93" s="18"/>
      <c r="F93" s="31"/>
      <c r="G93" s="20"/>
      <c r="H93" s="14"/>
      <c r="I93" s="23"/>
      <c r="J93" s="24"/>
      <c r="K93" s="21"/>
      <c r="L93" s="24"/>
      <c r="M93" s="24"/>
      <c r="N93" s="24"/>
      <c r="O93" s="24"/>
      <c r="P93" s="24"/>
      <c r="Q93" s="24"/>
      <c r="R93" s="24"/>
    </row>
    <row r="94" spans="1:18" ht="15" customHeight="1" x14ac:dyDescent="0.25">
      <c r="A94" s="15"/>
      <c r="B94" s="28"/>
      <c r="C94" s="26"/>
      <c r="D94" s="18"/>
      <c r="E94" s="18"/>
      <c r="F94" s="27"/>
      <c r="G94" s="20"/>
      <c r="H94" s="14"/>
      <c r="I94" s="21"/>
      <c r="J94" s="22"/>
      <c r="K94" s="21"/>
      <c r="L94" s="21"/>
      <c r="M94" s="21"/>
      <c r="N94" s="21"/>
      <c r="O94" s="21"/>
      <c r="P94" s="21"/>
      <c r="Q94" s="21"/>
      <c r="R94" s="21"/>
    </row>
    <row r="95" spans="1:18" ht="15" customHeight="1" x14ac:dyDescent="0.25">
      <c r="A95" s="29"/>
      <c r="B95" s="25"/>
      <c r="C95" s="17"/>
      <c r="D95" s="30"/>
      <c r="E95" s="18"/>
      <c r="F95" s="31"/>
      <c r="G95" s="20"/>
      <c r="H95" s="14"/>
      <c r="I95" s="23"/>
      <c r="J95" s="24"/>
      <c r="K95" s="21"/>
      <c r="L95" s="24"/>
      <c r="M95" s="24"/>
      <c r="N95" s="24"/>
      <c r="O95" s="24"/>
      <c r="P95" s="24"/>
      <c r="Q95" s="24"/>
      <c r="R95" s="24"/>
    </row>
    <row r="96" spans="1:18" ht="15" customHeight="1" x14ac:dyDescent="0.25">
      <c r="A96" s="15"/>
      <c r="B96" s="28"/>
      <c r="C96" s="26"/>
      <c r="D96" s="18"/>
      <c r="E96" s="18"/>
      <c r="F96" s="27"/>
      <c r="G96" s="20"/>
      <c r="H96" s="14"/>
      <c r="I96" s="21"/>
      <c r="J96" s="22"/>
      <c r="K96" s="21"/>
      <c r="L96" s="21"/>
      <c r="M96" s="21"/>
      <c r="N96" s="21"/>
      <c r="O96" s="21"/>
      <c r="P96" s="21"/>
      <c r="Q96" s="21"/>
      <c r="R96" s="21"/>
    </row>
    <row r="97" spans="1:18" ht="15" customHeight="1" x14ac:dyDescent="0.25">
      <c r="A97" s="29"/>
      <c r="B97" s="25"/>
      <c r="C97" s="17"/>
      <c r="D97" s="30"/>
      <c r="E97" s="18"/>
      <c r="F97" s="31"/>
      <c r="G97" s="20"/>
      <c r="H97" s="14"/>
      <c r="I97" s="23"/>
      <c r="J97" s="24"/>
      <c r="K97" s="21"/>
      <c r="L97" s="24"/>
      <c r="M97" s="24"/>
      <c r="N97" s="24"/>
      <c r="O97" s="24"/>
      <c r="P97" s="24"/>
      <c r="Q97" s="24"/>
      <c r="R97" s="24"/>
    </row>
    <row r="98" spans="1:18" ht="15" customHeight="1" x14ac:dyDescent="0.25">
      <c r="A98" s="15"/>
      <c r="B98" s="28"/>
      <c r="C98" s="26"/>
      <c r="D98" s="18"/>
      <c r="E98" s="18"/>
      <c r="F98" s="27"/>
      <c r="G98" s="20"/>
      <c r="H98" s="14"/>
      <c r="I98" s="21"/>
      <c r="J98" s="22"/>
      <c r="K98" s="21"/>
      <c r="L98" s="21"/>
      <c r="M98" s="21"/>
      <c r="N98" s="21"/>
      <c r="O98" s="21"/>
      <c r="P98" s="21"/>
      <c r="Q98" s="21"/>
      <c r="R98" s="21"/>
    </row>
    <row r="99" spans="1:18" ht="15" customHeight="1" x14ac:dyDescent="0.25">
      <c r="A99" s="29"/>
      <c r="B99" s="25"/>
      <c r="C99" s="17"/>
      <c r="D99" s="30"/>
      <c r="E99" s="18"/>
      <c r="F99" s="31"/>
      <c r="G99" s="20"/>
      <c r="H99" s="14"/>
      <c r="I99" s="23"/>
      <c r="J99" s="24"/>
      <c r="K99" s="21"/>
      <c r="L99" s="24"/>
      <c r="M99" s="24"/>
      <c r="N99" s="24"/>
      <c r="O99" s="24"/>
      <c r="P99" s="24"/>
      <c r="Q99" s="24"/>
      <c r="R99" s="24"/>
    </row>
    <row r="100" spans="1:18" ht="15" customHeight="1" x14ac:dyDescent="0.25">
      <c r="A100" s="15"/>
      <c r="B100" s="28"/>
      <c r="C100" s="26"/>
      <c r="D100" s="18"/>
      <c r="E100" s="18"/>
      <c r="F100" s="27"/>
      <c r="G100" s="20"/>
      <c r="H100" s="14"/>
      <c r="I100" s="21"/>
      <c r="J100" s="22"/>
      <c r="K100" s="21"/>
      <c r="L100" s="21"/>
      <c r="M100" s="21"/>
      <c r="N100" s="21"/>
      <c r="O100" s="21"/>
      <c r="P100" s="21"/>
      <c r="Q100" s="21"/>
      <c r="R100" s="21"/>
    </row>
    <row r="101" spans="1:18" ht="15" customHeight="1" x14ac:dyDescent="0.25">
      <c r="A101" s="29"/>
      <c r="B101" s="25"/>
      <c r="C101" s="17"/>
      <c r="D101" s="30"/>
      <c r="E101" s="18"/>
      <c r="F101" s="31"/>
      <c r="G101" s="20"/>
      <c r="H101" s="14"/>
      <c r="I101" s="23"/>
      <c r="J101" s="24"/>
      <c r="K101" s="21"/>
      <c r="L101" s="24"/>
      <c r="M101" s="24"/>
      <c r="N101" s="24"/>
      <c r="O101" s="24"/>
      <c r="P101" s="24"/>
      <c r="Q101" s="24"/>
      <c r="R101" s="24"/>
    </row>
    <row r="102" spans="1:18" ht="15" customHeight="1" x14ac:dyDescent="0.25">
      <c r="A102" s="15"/>
      <c r="B102" s="28"/>
      <c r="C102" s="26"/>
      <c r="D102" s="18"/>
      <c r="E102" s="18"/>
      <c r="F102" s="27"/>
      <c r="G102" s="20"/>
      <c r="H102" s="14"/>
      <c r="I102" s="21"/>
      <c r="J102" s="22"/>
      <c r="K102" s="21"/>
      <c r="L102" s="21"/>
      <c r="M102" s="21"/>
      <c r="N102" s="21"/>
      <c r="O102" s="21"/>
      <c r="P102" s="21"/>
      <c r="Q102" s="21"/>
      <c r="R102" s="21"/>
    </row>
    <row r="103" spans="1:18" ht="15" customHeight="1" x14ac:dyDescent="0.25">
      <c r="A103" s="29"/>
      <c r="B103" s="25"/>
      <c r="C103" s="17"/>
      <c r="D103" s="30"/>
      <c r="E103" s="18"/>
      <c r="F103" s="31"/>
      <c r="G103" s="20"/>
      <c r="H103" s="14"/>
      <c r="I103" s="23"/>
      <c r="J103" s="24"/>
      <c r="K103" s="21"/>
      <c r="L103" s="24"/>
      <c r="M103" s="24"/>
      <c r="N103" s="24"/>
      <c r="O103" s="24"/>
      <c r="P103" s="24"/>
      <c r="Q103" s="24"/>
      <c r="R103" s="24"/>
    </row>
    <row r="104" spans="1:18" ht="15" customHeight="1" x14ac:dyDescent="0.25">
      <c r="A104" s="15"/>
      <c r="B104" s="28"/>
      <c r="C104" s="26"/>
      <c r="D104" s="18"/>
      <c r="E104" s="18"/>
      <c r="F104" s="27"/>
      <c r="G104" s="20"/>
      <c r="H104" s="14"/>
      <c r="I104" s="21"/>
      <c r="J104" s="22"/>
      <c r="K104" s="21"/>
      <c r="L104" s="21"/>
      <c r="M104" s="21"/>
      <c r="N104" s="21"/>
      <c r="O104" s="21"/>
      <c r="P104" s="21"/>
      <c r="Q104" s="21"/>
      <c r="R104" s="21"/>
    </row>
    <row r="105" spans="1:18" ht="15" customHeight="1" x14ac:dyDescent="0.25">
      <c r="A105" s="29"/>
      <c r="B105" s="25"/>
      <c r="C105" s="17"/>
      <c r="D105" s="30"/>
      <c r="E105" s="18"/>
      <c r="F105" s="31"/>
      <c r="G105" s="20"/>
      <c r="H105" s="14"/>
      <c r="I105" s="23"/>
      <c r="J105" s="24"/>
      <c r="K105" s="21"/>
      <c r="L105" s="24"/>
      <c r="M105" s="24"/>
      <c r="N105" s="24"/>
      <c r="O105" s="24"/>
      <c r="P105" s="24"/>
      <c r="Q105" s="24"/>
      <c r="R105" s="24"/>
    </row>
    <row r="106" spans="1:18" ht="15" customHeight="1" x14ac:dyDescent="0.25">
      <c r="A106" s="15"/>
      <c r="B106" s="28"/>
      <c r="C106" s="26"/>
      <c r="D106" s="18"/>
      <c r="E106" s="18"/>
      <c r="F106" s="27"/>
      <c r="G106" s="20"/>
      <c r="H106" s="14"/>
      <c r="I106" s="21"/>
      <c r="J106" s="22"/>
      <c r="K106" s="21"/>
      <c r="L106" s="21"/>
      <c r="M106" s="21"/>
      <c r="N106" s="21"/>
      <c r="O106" s="21"/>
      <c r="P106" s="21"/>
      <c r="Q106" s="21"/>
      <c r="R106" s="21"/>
    </row>
    <row r="107" spans="1:18" ht="15" customHeight="1" x14ac:dyDescent="0.25">
      <c r="A107" s="29"/>
      <c r="B107" s="25"/>
      <c r="C107" s="17"/>
      <c r="D107" s="30"/>
      <c r="E107" s="18"/>
      <c r="F107" s="31"/>
      <c r="G107" s="20"/>
      <c r="H107" s="14"/>
      <c r="I107" s="23"/>
      <c r="J107" s="24"/>
      <c r="K107" s="21"/>
      <c r="L107" s="24"/>
      <c r="M107" s="24"/>
      <c r="N107" s="24"/>
      <c r="O107" s="24"/>
      <c r="P107" s="24"/>
      <c r="Q107" s="24"/>
      <c r="R107" s="24"/>
    </row>
    <row r="108" spans="1:18" ht="15" customHeight="1" x14ac:dyDescent="0.25">
      <c r="A108" s="15"/>
      <c r="B108" s="28"/>
      <c r="C108" s="26"/>
      <c r="D108" s="18"/>
      <c r="E108" s="18"/>
      <c r="F108" s="27"/>
      <c r="G108" s="20"/>
      <c r="H108" s="14"/>
      <c r="I108" s="21"/>
      <c r="J108" s="22"/>
      <c r="K108" s="21"/>
      <c r="L108" s="21"/>
      <c r="M108" s="21"/>
      <c r="N108" s="21"/>
      <c r="O108" s="21"/>
      <c r="P108" s="21"/>
      <c r="Q108" s="21"/>
      <c r="R108" s="21"/>
    </row>
    <row r="109" spans="1:18" ht="15" customHeight="1" x14ac:dyDescent="0.25">
      <c r="A109" s="29"/>
      <c r="B109" s="25"/>
      <c r="C109" s="17"/>
      <c r="D109" s="30"/>
      <c r="E109" s="18"/>
      <c r="F109" s="31"/>
      <c r="G109" s="20"/>
      <c r="H109" s="14"/>
      <c r="I109" s="23"/>
      <c r="J109" s="24"/>
      <c r="K109" s="21"/>
      <c r="L109" s="24"/>
      <c r="M109" s="24"/>
      <c r="N109" s="24"/>
      <c r="O109" s="24"/>
      <c r="P109" s="24"/>
      <c r="Q109" s="24"/>
      <c r="R109" s="24"/>
    </row>
    <row r="110" spans="1:18" ht="15" customHeight="1" x14ac:dyDescent="0.25">
      <c r="A110" s="15"/>
      <c r="B110" s="28"/>
      <c r="C110" s="26"/>
      <c r="D110" s="18"/>
      <c r="E110" s="18"/>
      <c r="F110" s="27"/>
      <c r="G110" s="20"/>
      <c r="H110" s="14"/>
      <c r="I110" s="21"/>
      <c r="J110" s="22"/>
      <c r="K110" s="21"/>
      <c r="L110" s="21"/>
      <c r="M110" s="21"/>
      <c r="N110" s="21"/>
      <c r="O110" s="21"/>
      <c r="P110" s="21"/>
      <c r="Q110" s="21"/>
      <c r="R110" s="21"/>
    </row>
    <row r="111" spans="1:18" ht="15" customHeight="1" x14ac:dyDescent="0.25">
      <c r="A111" s="29"/>
      <c r="B111" s="25"/>
      <c r="C111" s="17"/>
      <c r="D111" s="30"/>
      <c r="E111" s="18"/>
      <c r="F111" s="31"/>
      <c r="G111" s="20"/>
      <c r="H111" s="14"/>
      <c r="I111" s="23"/>
      <c r="J111" s="24"/>
      <c r="K111" s="21"/>
      <c r="L111" s="24"/>
      <c r="M111" s="24"/>
      <c r="N111" s="24"/>
      <c r="O111" s="24"/>
      <c r="P111" s="24"/>
      <c r="Q111" s="24"/>
      <c r="R111" s="24"/>
    </row>
    <row r="112" spans="1:18" ht="15" customHeight="1" x14ac:dyDescent="0.25">
      <c r="A112" s="15"/>
      <c r="B112" s="28"/>
      <c r="C112" s="26"/>
      <c r="D112" s="18"/>
      <c r="E112" s="18"/>
      <c r="F112" s="27"/>
      <c r="G112" s="20"/>
      <c r="H112" s="14"/>
      <c r="I112" s="21"/>
      <c r="J112" s="22"/>
      <c r="K112" s="21"/>
      <c r="L112" s="21"/>
      <c r="M112" s="21"/>
      <c r="N112" s="21"/>
      <c r="O112" s="21"/>
      <c r="P112" s="21"/>
      <c r="Q112" s="21"/>
      <c r="R112" s="21"/>
    </row>
    <row r="113" spans="1:18" ht="15" customHeight="1" x14ac:dyDescent="0.25">
      <c r="A113" s="29"/>
      <c r="B113" s="25"/>
      <c r="C113" s="17"/>
      <c r="D113" s="30"/>
      <c r="E113" s="18"/>
      <c r="F113" s="31"/>
      <c r="G113" s="20"/>
      <c r="H113" s="14"/>
      <c r="I113" s="23"/>
      <c r="J113" s="24"/>
      <c r="K113" s="21"/>
      <c r="L113" s="24"/>
      <c r="M113" s="24"/>
      <c r="N113" s="24"/>
      <c r="O113" s="24"/>
      <c r="P113" s="24"/>
      <c r="Q113" s="24"/>
      <c r="R113" s="24"/>
    </row>
    <row r="114" spans="1:18" ht="15" customHeight="1" x14ac:dyDescent="0.25">
      <c r="A114" s="15"/>
      <c r="B114" s="28"/>
      <c r="C114" s="26"/>
      <c r="D114" s="18"/>
      <c r="E114" s="18"/>
      <c r="F114" s="27"/>
      <c r="G114" s="20"/>
      <c r="H114" s="14"/>
      <c r="I114" s="21"/>
      <c r="J114" s="22"/>
      <c r="K114" s="21"/>
      <c r="L114" s="21"/>
      <c r="M114" s="21"/>
      <c r="N114" s="21"/>
      <c r="O114" s="21"/>
      <c r="P114" s="21"/>
      <c r="Q114" s="21"/>
      <c r="R114" s="21"/>
    </row>
    <row r="115" spans="1:18" ht="15" customHeight="1" x14ac:dyDescent="0.25">
      <c r="A115" s="29"/>
      <c r="B115" s="25"/>
      <c r="C115" s="17"/>
      <c r="D115" s="30"/>
      <c r="E115" s="18"/>
      <c r="F115" s="31"/>
      <c r="G115" s="20"/>
      <c r="H115" s="14"/>
      <c r="I115" s="23"/>
      <c r="J115" s="24"/>
      <c r="K115" s="21"/>
      <c r="L115" s="24"/>
      <c r="M115" s="24"/>
      <c r="N115" s="24"/>
      <c r="O115" s="24"/>
      <c r="P115" s="24"/>
      <c r="Q115" s="24"/>
      <c r="R115" s="24"/>
    </row>
    <row r="116" spans="1:18" ht="15" customHeight="1" x14ac:dyDescent="0.25">
      <c r="A116" s="15"/>
      <c r="B116" s="28"/>
      <c r="C116" s="26"/>
      <c r="D116" s="18"/>
      <c r="E116" s="18"/>
      <c r="F116" s="27"/>
      <c r="G116" s="20"/>
      <c r="H116" s="14"/>
      <c r="I116" s="21"/>
      <c r="J116" s="22"/>
      <c r="K116" s="21"/>
      <c r="L116" s="21"/>
      <c r="M116" s="21"/>
      <c r="N116" s="21"/>
      <c r="O116" s="21"/>
      <c r="P116" s="21"/>
      <c r="Q116" s="21"/>
      <c r="R116" s="21"/>
    </row>
    <row r="117" spans="1:18" ht="15" customHeight="1" x14ac:dyDescent="0.25">
      <c r="A117" s="29"/>
      <c r="B117" s="25"/>
      <c r="C117" s="17"/>
      <c r="D117" s="30"/>
      <c r="E117" s="18"/>
      <c r="F117" s="31"/>
      <c r="G117" s="20"/>
      <c r="H117" s="14"/>
      <c r="I117" s="23"/>
      <c r="J117" s="24"/>
      <c r="K117" s="21"/>
      <c r="L117" s="24"/>
      <c r="M117" s="24"/>
      <c r="N117" s="24"/>
      <c r="O117" s="24"/>
      <c r="P117" s="24"/>
      <c r="Q117" s="24"/>
      <c r="R117" s="24"/>
    </row>
    <row r="118" spans="1:18" ht="15" customHeight="1" x14ac:dyDescent="0.25">
      <c r="A118" s="15"/>
      <c r="B118" s="28"/>
      <c r="C118" s="26"/>
      <c r="D118" s="18"/>
      <c r="E118" s="18"/>
      <c r="F118" s="27"/>
      <c r="G118" s="20"/>
      <c r="H118" s="14"/>
      <c r="I118" s="21"/>
      <c r="J118" s="22"/>
      <c r="K118" s="21"/>
      <c r="L118" s="21"/>
      <c r="M118" s="21"/>
      <c r="N118" s="21"/>
      <c r="O118" s="21"/>
      <c r="P118" s="21"/>
      <c r="Q118" s="21"/>
      <c r="R118" s="21"/>
    </row>
    <row r="119" spans="1:18" ht="15" customHeight="1" x14ac:dyDescent="0.25">
      <c r="A119" s="29"/>
      <c r="B119" s="25"/>
      <c r="C119" s="17"/>
      <c r="D119" s="30"/>
      <c r="E119" s="18"/>
      <c r="F119" s="31"/>
      <c r="G119" s="20"/>
      <c r="H119" s="14"/>
      <c r="I119" s="23"/>
      <c r="J119" s="24"/>
      <c r="K119" s="21"/>
      <c r="L119" s="24"/>
      <c r="M119" s="24"/>
      <c r="N119" s="24"/>
      <c r="O119" s="24"/>
      <c r="P119" s="24"/>
      <c r="Q119" s="24"/>
      <c r="R119" s="24"/>
    </row>
    <row r="120" spans="1:18" ht="15" customHeight="1" x14ac:dyDescent="0.25">
      <c r="A120" s="15"/>
      <c r="B120" s="28"/>
      <c r="C120" s="26"/>
      <c r="D120" s="18"/>
      <c r="E120" s="18"/>
      <c r="F120" s="27"/>
      <c r="G120" s="20"/>
      <c r="H120" s="14"/>
      <c r="I120" s="21"/>
      <c r="J120" s="22"/>
      <c r="K120" s="21"/>
      <c r="L120" s="21"/>
      <c r="M120" s="21"/>
      <c r="N120" s="21"/>
      <c r="O120" s="21"/>
      <c r="P120" s="21"/>
      <c r="Q120" s="21"/>
      <c r="R120" s="21"/>
    </row>
    <row r="121" spans="1:18" ht="15" customHeight="1" x14ac:dyDescent="0.25">
      <c r="A121" s="29"/>
      <c r="B121" s="25"/>
      <c r="C121" s="17"/>
      <c r="D121" s="30"/>
      <c r="E121" s="18"/>
      <c r="F121" s="31"/>
      <c r="G121" s="20"/>
      <c r="H121" s="14"/>
      <c r="I121" s="23"/>
      <c r="J121" s="24"/>
      <c r="K121" s="21"/>
      <c r="L121" s="24"/>
      <c r="M121" s="24"/>
      <c r="N121" s="24"/>
      <c r="O121" s="24"/>
      <c r="P121" s="24"/>
      <c r="Q121" s="24"/>
      <c r="R121" s="24"/>
    </row>
    <row r="122" spans="1:18" ht="15" customHeight="1" x14ac:dyDescent="0.25">
      <c r="A122" s="15"/>
      <c r="B122" s="28"/>
      <c r="C122" s="26"/>
      <c r="D122" s="18"/>
      <c r="E122" s="18"/>
      <c r="F122" s="27"/>
      <c r="G122" s="20"/>
      <c r="H122" s="14"/>
      <c r="I122" s="21"/>
      <c r="J122" s="22"/>
      <c r="K122" s="21"/>
      <c r="L122" s="21"/>
      <c r="M122" s="21"/>
      <c r="N122" s="21"/>
      <c r="O122" s="21"/>
      <c r="P122" s="21"/>
      <c r="Q122" s="21"/>
      <c r="R122" s="21"/>
    </row>
    <row r="123" spans="1:18" ht="15" customHeight="1" x14ac:dyDescent="0.25">
      <c r="A123" s="29"/>
      <c r="B123" s="25"/>
      <c r="C123" s="17"/>
      <c r="D123" s="30"/>
      <c r="E123" s="18"/>
      <c r="F123" s="31"/>
      <c r="G123" s="20"/>
      <c r="H123" s="14"/>
      <c r="I123" s="23"/>
      <c r="J123" s="24"/>
      <c r="K123" s="21"/>
      <c r="L123" s="24"/>
      <c r="M123" s="24"/>
      <c r="N123" s="24"/>
      <c r="O123" s="24"/>
      <c r="P123" s="24"/>
      <c r="Q123" s="24"/>
      <c r="R123" s="24"/>
    </row>
    <row r="124" spans="1:18" ht="15" customHeight="1" x14ac:dyDescent="0.25">
      <c r="A124" s="15"/>
      <c r="B124" s="28"/>
      <c r="C124" s="26"/>
      <c r="D124" s="18"/>
      <c r="E124" s="18"/>
      <c r="F124" s="27"/>
      <c r="G124" s="20"/>
      <c r="H124" s="14"/>
      <c r="I124" s="21"/>
      <c r="J124" s="22"/>
      <c r="K124" s="21"/>
      <c r="L124" s="21"/>
      <c r="M124" s="21"/>
      <c r="N124" s="21"/>
      <c r="O124" s="21"/>
      <c r="P124" s="21"/>
      <c r="Q124" s="21"/>
      <c r="R124" s="21"/>
    </row>
    <row r="125" spans="1:18" ht="15" customHeight="1" x14ac:dyDescent="0.25">
      <c r="A125" s="29"/>
      <c r="B125" s="25"/>
      <c r="C125" s="17"/>
      <c r="D125" s="30"/>
      <c r="E125" s="18"/>
      <c r="F125" s="31"/>
      <c r="G125" s="20"/>
      <c r="H125" s="14"/>
      <c r="I125" s="23"/>
      <c r="J125" s="24"/>
      <c r="K125" s="21"/>
      <c r="L125" s="24"/>
      <c r="M125" s="24"/>
      <c r="N125" s="24"/>
      <c r="O125" s="24"/>
      <c r="P125" s="24"/>
      <c r="Q125" s="24"/>
      <c r="R125" s="24"/>
    </row>
    <row r="126" spans="1:18" ht="15" customHeight="1" x14ac:dyDescent="0.25">
      <c r="A126" s="15"/>
      <c r="B126" s="28"/>
      <c r="C126" s="26"/>
      <c r="D126" s="18"/>
      <c r="E126" s="18"/>
      <c r="F126" s="27"/>
      <c r="G126" s="20"/>
      <c r="H126" s="14"/>
      <c r="I126" s="21"/>
      <c r="J126" s="22"/>
      <c r="K126" s="21"/>
      <c r="L126" s="21"/>
      <c r="M126" s="21"/>
      <c r="N126" s="21"/>
      <c r="O126" s="21"/>
      <c r="P126" s="21"/>
      <c r="Q126" s="21"/>
      <c r="R126" s="21"/>
    </row>
    <row r="127" spans="1:18" ht="15" customHeight="1" x14ac:dyDescent="0.25">
      <c r="A127" s="29"/>
      <c r="B127" s="25"/>
      <c r="C127" s="17"/>
      <c r="D127" s="30"/>
      <c r="E127" s="18"/>
      <c r="F127" s="31"/>
      <c r="G127" s="20"/>
      <c r="H127" s="14"/>
      <c r="I127" s="23"/>
      <c r="J127" s="24"/>
      <c r="K127" s="21"/>
      <c r="L127" s="24"/>
      <c r="M127" s="24"/>
      <c r="N127" s="24"/>
      <c r="O127" s="24"/>
      <c r="P127" s="24"/>
      <c r="Q127" s="24"/>
      <c r="R127" s="24"/>
    </row>
    <row r="128" spans="1:18" ht="15" customHeight="1" x14ac:dyDescent="0.25">
      <c r="A128" s="15"/>
      <c r="B128" s="28"/>
      <c r="C128" s="26"/>
      <c r="D128" s="18"/>
      <c r="E128" s="18"/>
      <c r="F128" s="27"/>
      <c r="G128" s="20"/>
      <c r="H128" s="14"/>
      <c r="I128" s="21"/>
      <c r="J128" s="22"/>
      <c r="K128" s="21"/>
      <c r="L128" s="21"/>
      <c r="M128" s="21"/>
      <c r="N128" s="21"/>
      <c r="O128" s="21"/>
      <c r="P128" s="21"/>
      <c r="Q128" s="21"/>
      <c r="R128" s="21"/>
    </row>
    <row r="129" spans="1:18" ht="15" customHeight="1" x14ac:dyDescent="0.25">
      <c r="A129" s="29"/>
      <c r="B129" s="25"/>
      <c r="C129" s="17"/>
      <c r="D129" s="30"/>
      <c r="E129" s="18"/>
      <c r="F129" s="31"/>
      <c r="G129" s="20"/>
      <c r="H129" s="14"/>
      <c r="I129" s="23"/>
      <c r="J129" s="24"/>
      <c r="K129" s="21"/>
      <c r="L129" s="24"/>
      <c r="M129" s="24"/>
      <c r="N129" s="24"/>
      <c r="O129" s="24"/>
      <c r="P129" s="24"/>
      <c r="Q129" s="24"/>
      <c r="R129" s="24"/>
    </row>
    <row r="130" spans="1:18" ht="15" customHeight="1" x14ac:dyDescent="0.25">
      <c r="A130" s="15"/>
      <c r="B130" s="28"/>
      <c r="C130" s="26"/>
      <c r="D130" s="18"/>
      <c r="E130" s="18"/>
      <c r="F130" s="27"/>
      <c r="G130" s="20"/>
      <c r="H130" s="14"/>
      <c r="I130" s="21"/>
      <c r="J130" s="22"/>
      <c r="K130" s="21"/>
      <c r="L130" s="21"/>
      <c r="M130" s="21"/>
      <c r="N130" s="21"/>
      <c r="O130" s="21"/>
      <c r="P130" s="21"/>
      <c r="Q130" s="21"/>
      <c r="R130" s="21"/>
    </row>
    <row r="131" spans="1:18" ht="15" customHeight="1" x14ac:dyDescent="0.25">
      <c r="A131" s="29"/>
      <c r="B131" s="25"/>
      <c r="C131" s="17"/>
      <c r="D131" s="30"/>
      <c r="E131" s="18"/>
      <c r="F131" s="31"/>
      <c r="G131" s="20"/>
      <c r="H131" s="14"/>
      <c r="I131" s="23"/>
      <c r="J131" s="24"/>
      <c r="K131" s="21"/>
      <c r="L131" s="24"/>
      <c r="M131" s="24"/>
      <c r="N131" s="24"/>
      <c r="O131" s="24"/>
      <c r="P131" s="24"/>
      <c r="Q131" s="24"/>
      <c r="R131" s="24"/>
    </row>
    <row r="132" spans="1:18" ht="15" customHeight="1" x14ac:dyDescent="0.25">
      <c r="G132" s="2"/>
      <c r="H132" s="2"/>
    </row>
    <row r="133" spans="1:18" ht="15" customHeight="1" x14ac:dyDescent="0.25">
      <c r="G133" s="2"/>
      <c r="H133" s="2"/>
    </row>
    <row r="134" spans="1:18" ht="15" customHeight="1" x14ac:dyDescent="0.25">
      <c r="G134" s="2"/>
      <c r="H134" s="2"/>
    </row>
    <row r="135" spans="1:18" ht="15" customHeight="1" x14ac:dyDescent="0.25">
      <c r="G135" s="2"/>
      <c r="H135" s="2"/>
    </row>
    <row r="136" spans="1:18" ht="15" customHeight="1" x14ac:dyDescent="0.25">
      <c r="G136" s="2"/>
      <c r="H136" s="2"/>
    </row>
    <row r="137" spans="1:18" ht="15" customHeight="1" x14ac:dyDescent="0.25">
      <c r="G137" s="2"/>
      <c r="H137" s="2"/>
    </row>
    <row r="138" spans="1:18" ht="15" customHeight="1" x14ac:dyDescent="0.25">
      <c r="G138" s="2"/>
      <c r="H138" s="2"/>
    </row>
    <row r="139" spans="1:18" ht="15" customHeight="1" x14ac:dyDescent="0.25">
      <c r="G139" s="2"/>
      <c r="H139" s="2"/>
    </row>
    <row r="140" spans="1:18" ht="15" customHeight="1" x14ac:dyDescent="0.25">
      <c r="G140" s="2"/>
      <c r="H140" s="2"/>
    </row>
    <row r="141" spans="1:18" ht="15" customHeight="1" x14ac:dyDescent="0.25">
      <c r="G141" s="2"/>
      <c r="H141" s="2"/>
    </row>
    <row r="142" spans="1:18" ht="15" customHeight="1" x14ac:dyDescent="0.25">
      <c r="G142" s="2"/>
      <c r="H142" s="2"/>
    </row>
    <row r="143" spans="1:18" ht="15" customHeight="1" x14ac:dyDescent="0.25">
      <c r="G143" s="2"/>
      <c r="H143" s="2"/>
    </row>
    <row r="144" spans="1:18" ht="15" customHeight="1" x14ac:dyDescent="0.25">
      <c r="G144" s="2"/>
      <c r="H144" s="2"/>
    </row>
    <row r="145" spans="7:8" ht="15" customHeight="1" x14ac:dyDescent="0.25">
      <c r="G145" s="2"/>
      <c r="H145" s="2"/>
    </row>
    <row r="146" spans="7:8" ht="15" customHeight="1" x14ac:dyDescent="0.25">
      <c r="G146" s="2"/>
      <c r="H146" s="2"/>
    </row>
    <row r="147" spans="7:8" ht="15" customHeight="1" x14ac:dyDescent="0.25">
      <c r="G147" s="2"/>
      <c r="H147" s="2"/>
    </row>
    <row r="148" spans="7:8" ht="15" customHeight="1" x14ac:dyDescent="0.25">
      <c r="G148" s="2"/>
      <c r="H148" s="2"/>
    </row>
    <row r="149" spans="7:8" ht="15" customHeight="1" x14ac:dyDescent="0.25">
      <c r="G149" s="2"/>
      <c r="H149" s="2"/>
    </row>
    <row r="150" spans="7:8" ht="15" customHeight="1" x14ac:dyDescent="0.25">
      <c r="G150" s="2"/>
      <c r="H150" s="2"/>
    </row>
    <row r="151" spans="7:8" ht="15" customHeight="1" x14ac:dyDescent="0.25">
      <c r="G151" s="2"/>
      <c r="H151" s="2"/>
    </row>
    <row r="152" spans="7:8" ht="15" customHeight="1" x14ac:dyDescent="0.25">
      <c r="G152" s="2"/>
      <c r="H152" s="2"/>
    </row>
    <row r="153" spans="7:8" ht="15" customHeight="1" x14ac:dyDescent="0.25">
      <c r="G153" s="2"/>
      <c r="H153" s="2"/>
    </row>
    <row r="154" spans="7:8" ht="15" customHeight="1" x14ac:dyDescent="0.25">
      <c r="G154" s="2"/>
      <c r="H154" s="2"/>
    </row>
    <row r="155" spans="7:8" ht="15" customHeight="1" x14ac:dyDescent="0.25">
      <c r="G155" s="2"/>
      <c r="H155" s="2"/>
    </row>
    <row r="156" spans="7:8" ht="15" customHeight="1" x14ac:dyDescent="0.25">
      <c r="G156" s="2"/>
      <c r="H156" s="2"/>
    </row>
    <row r="157" spans="7:8" ht="15" customHeight="1" x14ac:dyDescent="0.25">
      <c r="G157" s="2"/>
      <c r="H157" s="2"/>
    </row>
    <row r="158" spans="7:8" ht="15" customHeight="1" x14ac:dyDescent="0.25">
      <c r="G158" s="2"/>
      <c r="H158" s="2"/>
    </row>
    <row r="159" spans="7:8" ht="15" customHeight="1" x14ac:dyDescent="0.25">
      <c r="G159" s="2"/>
      <c r="H159" s="2"/>
    </row>
    <row r="160" spans="7:8" ht="15" customHeight="1" x14ac:dyDescent="0.25">
      <c r="G160" s="2"/>
      <c r="H160" s="2"/>
    </row>
    <row r="161" spans="7:8" ht="15" customHeight="1" x14ac:dyDescent="0.25">
      <c r="G161" s="2"/>
      <c r="H161" s="2"/>
    </row>
    <row r="162" spans="7:8" ht="15" customHeight="1" x14ac:dyDescent="0.25">
      <c r="G162" s="2"/>
      <c r="H162" s="2"/>
    </row>
    <row r="163" spans="7:8" ht="15" customHeight="1" x14ac:dyDescent="0.25">
      <c r="G163" s="2"/>
      <c r="H163" s="2"/>
    </row>
    <row r="164" spans="7:8" ht="15" customHeight="1" x14ac:dyDescent="0.25">
      <c r="G164" s="2"/>
      <c r="H164" s="2"/>
    </row>
    <row r="165" spans="7:8" ht="15" customHeight="1" x14ac:dyDescent="0.25">
      <c r="G165" s="2"/>
      <c r="H165" s="2"/>
    </row>
    <row r="166" spans="7:8" ht="15" customHeight="1" x14ac:dyDescent="0.25">
      <c r="G166" s="2"/>
      <c r="H166" s="2"/>
    </row>
    <row r="167" spans="7:8" ht="15" customHeight="1" x14ac:dyDescent="0.25">
      <c r="G167" s="2"/>
      <c r="H167" s="2"/>
    </row>
    <row r="168" spans="7:8" ht="15" customHeight="1" x14ac:dyDescent="0.25">
      <c r="G168" s="2"/>
      <c r="H168" s="2"/>
    </row>
    <row r="169" spans="7:8" ht="15" customHeight="1" x14ac:dyDescent="0.25">
      <c r="G169" s="2"/>
      <c r="H169" s="2"/>
    </row>
    <row r="170" spans="7:8" ht="15" customHeight="1" x14ac:dyDescent="0.25">
      <c r="G170" s="2"/>
      <c r="H170" s="2"/>
    </row>
    <row r="171" spans="7:8" ht="15" customHeight="1" x14ac:dyDescent="0.25">
      <c r="G171" s="2"/>
      <c r="H171" s="2"/>
    </row>
    <row r="172" spans="7:8" ht="15" customHeight="1" x14ac:dyDescent="0.25">
      <c r="G172" s="2"/>
      <c r="H172" s="2"/>
    </row>
    <row r="173" spans="7:8" ht="15" customHeight="1" x14ac:dyDescent="0.25">
      <c r="G173" s="2"/>
      <c r="H173" s="2"/>
    </row>
    <row r="174" spans="7:8" ht="15" customHeight="1" x14ac:dyDescent="0.25">
      <c r="G174" s="2"/>
      <c r="H174" s="2"/>
    </row>
    <row r="175" spans="7:8" ht="15" customHeight="1" x14ac:dyDescent="0.25">
      <c r="G175" s="2"/>
      <c r="H175" s="2"/>
    </row>
    <row r="176" spans="7:8" ht="15" customHeight="1" x14ac:dyDescent="0.25">
      <c r="G176" s="2"/>
      <c r="H176" s="2"/>
    </row>
    <row r="177" spans="7:8" ht="15" customHeight="1" x14ac:dyDescent="0.25">
      <c r="G177" s="2"/>
      <c r="H177" s="2"/>
    </row>
    <row r="178" spans="7:8" ht="15" customHeight="1" x14ac:dyDescent="0.25">
      <c r="G178" s="2"/>
      <c r="H178" s="2"/>
    </row>
    <row r="179" spans="7:8" ht="15" customHeight="1" x14ac:dyDescent="0.25">
      <c r="G179" s="2"/>
      <c r="H179" s="2"/>
    </row>
  </sheetData>
  <autoFilter ref="A1:R33" xr:uid="{00000000-0009-0000-0000-000000000000}"/>
  <pageMargins left="0.7" right="0.7" top="0.75" bottom="0.75" header="0.3" footer="0.3"/>
  <pageSetup paperSize="9" orientation="portrait" horizontalDpi="360" verticalDpi="360" r:id="rId1"/>
  <ignoredErrors>
    <ignoredError sqref="G16:G17 G23:G30 G18:G22 G32:G37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'Codigo_NO BORRAR'!$E$2:$E$22</xm:f>
          </x14:formula1>
          <xm:sqref>K2:K131</xm:sqref>
        </x14:dataValidation>
        <x14:dataValidation type="list" allowBlank="1" showInputMessage="1" showErrorMessage="1" xr:uid="{00000000-0002-0000-0000-000001000000}">
          <x14:formula1>
            <xm:f>'Codigo_NO BORRAR'!$A$2:$A$41</xm:f>
          </x14:formula1>
          <xm:sqref>G2:G131</xm:sqref>
        </x14:dataValidation>
        <x14:dataValidation type="list" allowBlank="1" showInputMessage="1" showErrorMessage="1" xr:uid="{00000000-0002-0000-0000-000002000000}">
          <x14:formula1>
            <xm:f>'Codigo_NO BORRAR'!$B$2:$B$41</xm:f>
          </x14:formula1>
          <xm:sqref>H2:H131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L51"/>
  <sheetViews>
    <sheetView zoomScale="70" zoomScaleNormal="70" workbookViewId="0">
      <selection activeCell="N7" sqref="N7"/>
    </sheetView>
  </sheetViews>
  <sheetFormatPr baseColWidth="10" defaultColWidth="8.7109375" defaultRowHeight="15" x14ac:dyDescent="0.25"/>
  <cols>
    <col min="1" max="1" width="34" customWidth="1"/>
    <col min="2" max="2" width="5.5703125" customWidth="1"/>
    <col min="3" max="3" width="16.28515625" customWidth="1"/>
    <col min="4" max="4" width="62.140625" bestFit="1" customWidth="1"/>
    <col min="5" max="5" width="18.28515625" bestFit="1" customWidth="1"/>
    <col min="6" max="6" width="20.28515625" bestFit="1" customWidth="1"/>
    <col min="7" max="7" width="6.7109375" customWidth="1"/>
    <col min="8" max="8" width="3.140625" customWidth="1"/>
    <col min="9" max="9" width="27.5703125" customWidth="1"/>
    <col min="10" max="10" width="15.28515625" customWidth="1"/>
    <col min="11" max="11" width="14.85546875" customWidth="1"/>
    <col min="12" max="12" width="15.85546875" customWidth="1"/>
  </cols>
  <sheetData>
    <row r="2" spans="1:12" x14ac:dyDescent="0.25">
      <c r="A2" s="4"/>
      <c r="B2" s="4"/>
      <c r="C2" s="4"/>
      <c r="D2" s="4"/>
      <c r="E2" s="4" t="s">
        <v>50</v>
      </c>
      <c r="F2" s="4" t="s">
        <v>51</v>
      </c>
    </row>
    <row r="3" spans="1:12" x14ac:dyDescent="0.25">
      <c r="A3" s="4" t="s">
        <v>37</v>
      </c>
      <c r="B3" s="4">
        <v>11</v>
      </c>
      <c r="C3" s="9">
        <v>46051</v>
      </c>
      <c r="D3" s="4" t="s">
        <v>148</v>
      </c>
      <c r="E3" s="34">
        <v>80</v>
      </c>
      <c r="F3" s="34"/>
    </row>
    <row r="4" spans="1:12" x14ac:dyDescent="0.25">
      <c r="A4" s="4"/>
      <c r="B4" s="4">
        <v>16</v>
      </c>
      <c r="C4" s="9">
        <v>46058</v>
      </c>
      <c r="D4" s="4" t="s">
        <v>48</v>
      </c>
      <c r="E4" s="34">
        <v>105</v>
      </c>
      <c r="F4" s="34"/>
    </row>
    <row r="5" spans="1:12" x14ac:dyDescent="0.25">
      <c r="A5" s="4"/>
      <c r="B5" s="4">
        <v>17</v>
      </c>
      <c r="C5" s="9">
        <v>46058</v>
      </c>
      <c r="D5" s="4" t="s">
        <v>48</v>
      </c>
      <c r="E5" s="34">
        <v>35</v>
      </c>
      <c r="F5" s="34"/>
    </row>
    <row r="6" spans="1:12" x14ac:dyDescent="0.25">
      <c r="A6" s="4"/>
      <c r="B6" s="4">
        <v>28</v>
      </c>
      <c r="C6" s="9">
        <v>46080</v>
      </c>
      <c r="D6" s="4" t="s">
        <v>162</v>
      </c>
      <c r="E6" s="34">
        <v>160</v>
      </c>
      <c r="F6" s="34"/>
      <c r="I6" s="6" t="s">
        <v>52</v>
      </c>
      <c r="J6" s="6" t="s">
        <v>3</v>
      </c>
      <c r="K6" s="6" t="s">
        <v>4</v>
      </c>
      <c r="L6" s="6" t="s">
        <v>53</v>
      </c>
    </row>
    <row r="7" spans="1:12" x14ac:dyDescent="0.25">
      <c r="A7" s="4"/>
      <c r="B7" s="4">
        <v>29</v>
      </c>
      <c r="C7" s="9">
        <v>46080</v>
      </c>
      <c r="D7" s="4" t="s">
        <v>163</v>
      </c>
      <c r="E7" s="34">
        <v>400</v>
      </c>
      <c r="F7" s="34"/>
      <c r="I7" s="4" t="s">
        <v>37</v>
      </c>
      <c r="J7" s="5">
        <f>VLOOKUP("Total BECAS NEAE",A3:E500,5,FALSE)</f>
        <v>2833</v>
      </c>
      <c r="K7" s="5">
        <f>VLOOKUP("Total BECAS NEAE",A3:F500,6,FALSE)</f>
        <v>4739</v>
      </c>
      <c r="L7" s="5">
        <f>K7-J7</f>
        <v>1906</v>
      </c>
    </row>
    <row r="8" spans="1:12" x14ac:dyDescent="0.25">
      <c r="A8" s="4"/>
      <c r="B8" s="4">
        <v>33</v>
      </c>
      <c r="C8" s="9">
        <v>46090</v>
      </c>
      <c r="D8" s="4" t="s">
        <v>48</v>
      </c>
      <c r="E8" s="34">
        <v>105</v>
      </c>
      <c r="F8" s="34"/>
      <c r="I8" s="7" t="s">
        <v>54</v>
      </c>
      <c r="J8" s="8">
        <f>VLOOKUP("Total CENTROS PIE",A3:E500,5,FALSE)</f>
        <v>0</v>
      </c>
      <c r="K8" s="8">
        <f>VLOOKUP("Total CENTROS PIE",A3:F500,6,FALSE)</f>
        <v>900</v>
      </c>
      <c r="L8" s="8">
        <f t="shared" ref="L8:L15" si="0">K8-J8</f>
        <v>900</v>
      </c>
    </row>
    <row r="9" spans="1:12" x14ac:dyDescent="0.25">
      <c r="A9" s="4"/>
      <c r="B9" s="4">
        <v>34</v>
      </c>
      <c r="C9" s="9">
        <v>46090</v>
      </c>
      <c r="D9" s="4" t="s">
        <v>48</v>
      </c>
      <c r="E9" s="34">
        <v>140</v>
      </c>
      <c r="F9" s="34"/>
      <c r="I9" s="4" t="s">
        <v>56</v>
      </c>
      <c r="J9" s="5">
        <f>VLOOKUP("Total DESENVOLVEMENTO PROGRAMA EDUCACIÓN DIXITAL",A3:E500,5,FALSE)</f>
        <v>0</v>
      </c>
      <c r="K9" s="5">
        <f>VLOOKUP("Total DESENVOLVEMENTO PROGRAMA EDUCACIÓN DIXITAL",A3:F500,6,FALSE)</f>
        <v>0</v>
      </c>
      <c r="L9" s="5">
        <f t="shared" si="0"/>
        <v>0</v>
      </c>
    </row>
    <row r="10" spans="1:12" x14ac:dyDescent="0.25">
      <c r="A10" s="4"/>
      <c r="B10" s="4">
        <v>46</v>
      </c>
      <c r="C10" s="9">
        <v>46093</v>
      </c>
      <c r="D10" s="4" t="s">
        <v>164</v>
      </c>
      <c r="E10" s="34">
        <v>400</v>
      </c>
      <c r="F10" s="34"/>
      <c r="I10" s="7" t="s">
        <v>43</v>
      </c>
      <c r="J10" s="8">
        <f>VLOOKUP("Total PLAMBE-FONDOS",A3:E500,5,FALSE)</f>
        <v>449.38</v>
      </c>
      <c r="K10" s="8">
        <f>VLOOKUP("Total PLAMBE-FONDOS",A3:F500,6,FALSE)</f>
        <v>0</v>
      </c>
      <c r="L10" s="8">
        <f t="shared" si="0"/>
        <v>-449.38</v>
      </c>
    </row>
    <row r="11" spans="1:12" x14ac:dyDescent="0.25">
      <c r="A11" s="4"/>
      <c r="B11" s="4">
        <v>153</v>
      </c>
      <c r="C11" s="9">
        <v>45966</v>
      </c>
      <c r="D11" s="4" t="s">
        <v>34</v>
      </c>
      <c r="E11" s="34"/>
      <c r="F11" s="34">
        <v>1313</v>
      </c>
      <c r="I11" s="4" t="s">
        <v>26</v>
      </c>
      <c r="J11" s="5">
        <f>VLOOKUP("Total PLAMBE-MOBILIARIO",A3:E501,5,FALSE)</f>
        <v>0</v>
      </c>
      <c r="K11" s="5">
        <f>VLOOKUP("Total PLAMBE-MOBILIARIO",A3:F501,6,FALSE)</f>
        <v>0</v>
      </c>
      <c r="L11" s="5">
        <f t="shared" si="0"/>
        <v>0</v>
      </c>
    </row>
    <row r="12" spans="1:12" x14ac:dyDescent="0.25">
      <c r="A12" s="4"/>
      <c r="B12" s="4">
        <v>154</v>
      </c>
      <c r="C12" s="9">
        <v>45966</v>
      </c>
      <c r="D12" s="4" t="s">
        <v>34</v>
      </c>
      <c r="E12" s="34"/>
      <c r="F12" s="34">
        <v>400</v>
      </c>
      <c r="I12" s="7" t="s">
        <v>22</v>
      </c>
      <c r="J12" s="8">
        <f>VLOOKUP("Total LINGUAS EXTRANXEIRAS",A3:E502,5,FALSE)</f>
        <v>0</v>
      </c>
      <c r="K12" s="8">
        <f>VLOOKUP("Total LINGUAS EXTRANXEIRAS",A3:F502,6,FALSE)</f>
        <v>553.98</v>
      </c>
      <c r="L12" s="8">
        <f t="shared" si="0"/>
        <v>553.98</v>
      </c>
    </row>
    <row r="13" spans="1:12" x14ac:dyDescent="0.25">
      <c r="A13" s="4"/>
      <c r="B13" s="4">
        <v>155</v>
      </c>
      <c r="C13" s="9">
        <v>45966</v>
      </c>
      <c r="D13" s="4" t="s">
        <v>34</v>
      </c>
      <c r="E13" s="34"/>
      <c r="F13" s="34">
        <v>2226</v>
      </c>
      <c r="I13" s="37" t="s">
        <v>30</v>
      </c>
      <c r="J13" s="5">
        <f>VLOOKUP("Total FOMENTO DO USO DO GALEGO",A3:E503,5,FALSE)</f>
        <v>0</v>
      </c>
      <c r="K13" s="5">
        <f>VLOOKUP("Total FOMENTO DO USO DO GALEGO",A3:F503,6,FALSE)</f>
        <v>0</v>
      </c>
      <c r="L13" s="5">
        <f t="shared" si="0"/>
        <v>0</v>
      </c>
    </row>
    <row r="14" spans="1:12" x14ac:dyDescent="0.25">
      <c r="A14" s="4"/>
      <c r="B14" s="4">
        <v>157</v>
      </c>
      <c r="C14" s="9">
        <v>45966</v>
      </c>
      <c r="D14" s="4" t="s">
        <v>34</v>
      </c>
      <c r="E14" s="34"/>
      <c r="F14" s="34">
        <v>400</v>
      </c>
      <c r="I14" s="7" t="s">
        <v>28</v>
      </c>
      <c r="J14" s="8">
        <f>VLOOKUP("Total XESTION ATENCION BIBLIOTECA",A3:E504,5,FALSE)</f>
        <v>232.89</v>
      </c>
      <c r="K14" s="8">
        <f>VLOOKUP("Total XESTION ATENCION BIBLIOTECA",A3:F504,6,FALSE)</f>
        <v>164.2</v>
      </c>
      <c r="L14" s="8">
        <f t="shared" si="0"/>
        <v>-68.69</v>
      </c>
    </row>
    <row r="15" spans="1:12" x14ac:dyDescent="0.25">
      <c r="A15" s="4"/>
      <c r="B15" s="4">
        <v>164</v>
      </c>
      <c r="C15" s="9">
        <v>45971</v>
      </c>
      <c r="D15" s="4" t="s">
        <v>48</v>
      </c>
      <c r="E15" s="34">
        <v>140</v>
      </c>
      <c r="F15" s="34"/>
      <c r="I15" s="35" t="s">
        <v>147</v>
      </c>
      <c r="J15" s="5">
        <f>VLOOKUP("Total X.T. PROGRAMA CERTIFICACIÓN COMPETENCIA LINGÜÍSTICA",A3:E505,5,FALSE)</f>
        <v>0</v>
      </c>
      <c r="K15" s="5">
        <f>VLOOKUP("Total X.T. PROGRAMA CERTIFICACIÓN COMPETENCIA LINGÜÍSTICA",A3:F505,6,FALSE)</f>
        <v>0</v>
      </c>
      <c r="L15" s="5">
        <f t="shared" si="0"/>
        <v>0</v>
      </c>
    </row>
    <row r="16" spans="1:12" x14ac:dyDescent="0.25">
      <c r="A16" s="4"/>
      <c r="B16" s="4">
        <v>165</v>
      </c>
      <c r="C16" s="9">
        <v>45971</v>
      </c>
      <c r="D16" s="4" t="s">
        <v>48</v>
      </c>
      <c r="E16" s="34">
        <v>35</v>
      </c>
      <c r="F16" s="34"/>
    </row>
    <row r="17" spans="1:6" x14ac:dyDescent="0.25">
      <c r="A17" s="4"/>
      <c r="B17" s="4">
        <v>197</v>
      </c>
      <c r="C17" s="9">
        <v>46003</v>
      </c>
      <c r="D17" s="4" t="s">
        <v>48</v>
      </c>
      <c r="E17" s="34">
        <v>175</v>
      </c>
      <c r="F17" s="34"/>
    </row>
    <row r="18" spans="1:6" x14ac:dyDescent="0.25">
      <c r="A18" s="4"/>
      <c r="B18" s="4">
        <v>198</v>
      </c>
      <c r="C18" s="9">
        <v>46003</v>
      </c>
      <c r="D18" s="4" t="s">
        <v>48</v>
      </c>
      <c r="E18" s="34">
        <v>175</v>
      </c>
      <c r="F18" s="34"/>
    </row>
    <row r="19" spans="1:6" x14ac:dyDescent="0.25">
      <c r="A19" s="4"/>
      <c r="B19" s="4">
        <v>199</v>
      </c>
      <c r="C19" s="9">
        <v>46003</v>
      </c>
      <c r="D19" s="4" t="s">
        <v>48</v>
      </c>
      <c r="E19" s="34">
        <v>105</v>
      </c>
      <c r="F19" s="34"/>
    </row>
    <row r="20" spans="1:6" x14ac:dyDescent="0.25">
      <c r="A20" s="4"/>
      <c r="B20" s="4">
        <v>200</v>
      </c>
      <c r="C20" s="9">
        <v>46003</v>
      </c>
      <c r="D20" s="4" t="s">
        <v>48</v>
      </c>
      <c r="E20" s="34">
        <v>400</v>
      </c>
      <c r="F20" s="34"/>
    </row>
    <row r="21" spans="1:6" x14ac:dyDescent="0.25">
      <c r="A21" s="4"/>
      <c r="B21" s="4">
        <v>201</v>
      </c>
      <c r="C21" s="9">
        <v>46003</v>
      </c>
      <c r="D21" s="4" t="s">
        <v>48</v>
      </c>
      <c r="E21" s="34">
        <v>105</v>
      </c>
      <c r="F21" s="34"/>
    </row>
    <row r="22" spans="1:6" x14ac:dyDescent="0.25">
      <c r="A22" s="4"/>
      <c r="B22" s="4">
        <v>220</v>
      </c>
      <c r="C22" s="9">
        <v>46031</v>
      </c>
      <c r="D22" s="4" t="s">
        <v>155</v>
      </c>
      <c r="E22" s="34">
        <v>153</v>
      </c>
      <c r="F22" s="34"/>
    </row>
    <row r="23" spans="1:6" x14ac:dyDescent="0.25">
      <c r="A23" s="4"/>
      <c r="B23" s="4">
        <v>221</v>
      </c>
      <c r="C23" s="9">
        <v>46031</v>
      </c>
      <c r="D23" s="4" t="s">
        <v>156</v>
      </c>
      <c r="E23" s="34">
        <v>120</v>
      </c>
      <c r="F23" s="34"/>
    </row>
    <row r="24" spans="1:6" x14ac:dyDescent="0.25">
      <c r="A24" s="4"/>
      <c r="B24" s="4">
        <v>156</v>
      </c>
      <c r="C24" s="9">
        <v>45966</v>
      </c>
      <c r="D24" s="4" t="s">
        <v>34</v>
      </c>
      <c r="E24" s="34"/>
      <c r="F24" s="34">
        <v>400</v>
      </c>
    </row>
    <row r="25" spans="1:6" x14ac:dyDescent="0.25">
      <c r="A25" s="4" t="s">
        <v>55</v>
      </c>
      <c r="B25" s="4"/>
      <c r="C25" s="4"/>
      <c r="D25" s="4"/>
      <c r="E25" s="34">
        <v>2833</v>
      </c>
      <c r="F25" s="34">
        <v>4739</v>
      </c>
    </row>
    <row r="26" spans="1:6" x14ac:dyDescent="0.25">
      <c r="A26" s="4" t="s">
        <v>43</v>
      </c>
      <c r="B26" s="4">
        <v>3</v>
      </c>
      <c r="C26" s="9">
        <v>46037</v>
      </c>
      <c r="D26" s="4" t="s">
        <v>124</v>
      </c>
      <c r="E26" s="34">
        <v>10.119999999999999</v>
      </c>
      <c r="F26" s="34"/>
    </row>
    <row r="27" spans="1:6" x14ac:dyDescent="0.25">
      <c r="A27" s="4"/>
      <c r="B27" s="4">
        <v>14</v>
      </c>
      <c r="C27" s="9">
        <v>46058</v>
      </c>
      <c r="D27" s="4" t="s">
        <v>124</v>
      </c>
      <c r="E27" s="34">
        <v>8.2200000000000006</v>
      </c>
      <c r="F27" s="34"/>
    </row>
    <row r="28" spans="1:6" x14ac:dyDescent="0.25">
      <c r="A28" s="4"/>
      <c r="B28" s="4">
        <v>20</v>
      </c>
      <c r="C28" s="9">
        <v>46063</v>
      </c>
      <c r="D28" s="4" t="s">
        <v>158</v>
      </c>
      <c r="E28" s="34">
        <v>84</v>
      </c>
      <c r="F28" s="34"/>
    </row>
    <row r="29" spans="1:6" x14ac:dyDescent="0.25">
      <c r="A29" s="4"/>
      <c r="B29" s="4">
        <v>40</v>
      </c>
      <c r="C29" s="9">
        <v>46090</v>
      </c>
      <c r="D29" s="4" t="s">
        <v>161</v>
      </c>
      <c r="E29" s="34">
        <v>347.04</v>
      </c>
      <c r="F29" s="34"/>
    </row>
    <row r="30" spans="1:6" x14ac:dyDescent="0.25">
      <c r="A30" s="4"/>
      <c r="B30" s="4" t="s">
        <v>151</v>
      </c>
      <c r="C30" s="9">
        <v>46023</v>
      </c>
      <c r="D30" s="4" t="s">
        <v>152</v>
      </c>
      <c r="E30" s="34"/>
      <c r="F30" s="34">
        <v>0</v>
      </c>
    </row>
    <row r="31" spans="1:6" x14ac:dyDescent="0.25">
      <c r="A31" s="4" t="s">
        <v>57</v>
      </c>
      <c r="B31" s="4"/>
      <c r="C31" s="4"/>
      <c r="D31" s="4"/>
      <c r="E31" s="34">
        <v>449.38</v>
      </c>
      <c r="F31" s="34">
        <v>0</v>
      </c>
    </row>
    <row r="32" spans="1:6" x14ac:dyDescent="0.25">
      <c r="A32" s="4" t="s">
        <v>58</v>
      </c>
      <c r="B32" s="4" t="s">
        <v>58</v>
      </c>
      <c r="C32" s="4" t="s">
        <v>58</v>
      </c>
      <c r="D32" s="4"/>
      <c r="E32" s="34"/>
      <c r="F32" s="34"/>
    </row>
    <row r="33" spans="1:6" x14ac:dyDescent="0.25">
      <c r="A33" s="4" t="s">
        <v>59</v>
      </c>
      <c r="B33" s="4"/>
      <c r="C33" s="4"/>
      <c r="D33" s="4"/>
      <c r="E33" s="34"/>
      <c r="F33" s="34"/>
    </row>
    <row r="34" spans="1:6" x14ac:dyDescent="0.25">
      <c r="A34" s="4" t="s">
        <v>19</v>
      </c>
      <c r="B34" s="4">
        <v>0</v>
      </c>
      <c r="C34" s="9">
        <v>46023</v>
      </c>
      <c r="D34" s="4" t="s">
        <v>153</v>
      </c>
      <c r="E34" s="34"/>
      <c r="F34" s="34">
        <v>900</v>
      </c>
    </row>
    <row r="35" spans="1:6" x14ac:dyDescent="0.25">
      <c r="A35" s="4" t="s">
        <v>60</v>
      </c>
      <c r="B35" s="4"/>
      <c r="C35" s="4"/>
      <c r="D35" s="4"/>
      <c r="E35" s="34"/>
      <c r="F35" s="34">
        <v>900</v>
      </c>
    </row>
    <row r="36" spans="1:6" x14ac:dyDescent="0.25">
      <c r="A36" s="4" t="s">
        <v>24</v>
      </c>
      <c r="B36" s="4">
        <v>0</v>
      </c>
      <c r="C36" s="9">
        <v>45658</v>
      </c>
      <c r="D36" s="4" t="s">
        <v>23</v>
      </c>
      <c r="E36" s="34"/>
      <c r="F36" s="34">
        <v>0</v>
      </c>
    </row>
    <row r="37" spans="1:6" x14ac:dyDescent="0.25">
      <c r="A37" s="4" t="s">
        <v>61</v>
      </c>
      <c r="B37" s="4"/>
      <c r="C37" s="4"/>
      <c r="D37" s="4"/>
      <c r="E37" s="34"/>
      <c r="F37" s="34">
        <v>0</v>
      </c>
    </row>
    <row r="38" spans="1:6" x14ac:dyDescent="0.25">
      <c r="A38" s="4" t="s">
        <v>22</v>
      </c>
      <c r="B38" s="4">
        <v>0</v>
      </c>
      <c r="C38" s="9">
        <v>46023</v>
      </c>
      <c r="D38" s="4" t="s">
        <v>154</v>
      </c>
      <c r="E38" s="34"/>
      <c r="F38" s="34">
        <v>553.98</v>
      </c>
    </row>
    <row r="39" spans="1:6" x14ac:dyDescent="0.25">
      <c r="A39" s="4" t="s">
        <v>62</v>
      </c>
      <c r="B39" s="4"/>
      <c r="C39" s="4"/>
      <c r="D39" s="4"/>
      <c r="E39" s="34"/>
      <c r="F39" s="34">
        <v>553.98</v>
      </c>
    </row>
    <row r="40" spans="1:6" x14ac:dyDescent="0.25">
      <c r="A40" s="4" t="s">
        <v>30</v>
      </c>
      <c r="B40" s="4">
        <v>0</v>
      </c>
      <c r="C40" s="9">
        <v>46023</v>
      </c>
      <c r="D40" s="4" t="s">
        <v>29</v>
      </c>
      <c r="E40" s="34"/>
      <c r="F40" s="34">
        <v>0</v>
      </c>
    </row>
    <row r="41" spans="1:6" x14ac:dyDescent="0.25">
      <c r="A41" s="4" t="s">
        <v>63</v>
      </c>
      <c r="B41" s="4"/>
      <c r="C41" s="4"/>
      <c r="D41" s="4"/>
      <c r="E41" s="34"/>
      <c r="F41" s="34">
        <v>0</v>
      </c>
    </row>
    <row r="42" spans="1:6" x14ac:dyDescent="0.25">
      <c r="A42" s="4" t="s">
        <v>26</v>
      </c>
      <c r="B42" s="4">
        <v>0</v>
      </c>
      <c r="C42" s="9">
        <v>46023</v>
      </c>
      <c r="D42" s="4" t="s">
        <v>25</v>
      </c>
      <c r="E42" s="34"/>
      <c r="F42" s="34">
        <v>0</v>
      </c>
    </row>
    <row r="43" spans="1:6" x14ac:dyDescent="0.25">
      <c r="A43" s="4" t="s">
        <v>64</v>
      </c>
      <c r="B43" s="4"/>
      <c r="C43" s="4"/>
      <c r="D43" s="4"/>
      <c r="E43" s="34"/>
      <c r="F43" s="34">
        <v>0</v>
      </c>
    </row>
    <row r="44" spans="1:6" x14ac:dyDescent="0.25">
      <c r="A44" s="4" t="s">
        <v>28</v>
      </c>
      <c r="B44" s="4">
        <v>0</v>
      </c>
      <c r="C44" s="9">
        <v>46023</v>
      </c>
      <c r="D44" s="4" t="s">
        <v>27</v>
      </c>
      <c r="E44" s="34"/>
      <c r="F44" s="34">
        <v>164.2</v>
      </c>
    </row>
    <row r="45" spans="1:6" x14ac:dyDescent="0.25">
      <c r="A45" s="4"/>
      <c r="B45" s="4">
        <v>22</v>
      </c>
      <c r="C45" s="9">
        <v>46065</v>
      </c>
      <c r="D45" s="4" t="s">
        <v>161</v>
      </c>
      <c r="E45" s="34">
        <v>232.89</v>
      </c>
      <c r="F45" s="34"/>
    </row>
    <row r="46" spans="1:6" x14ac:dyDescent="0.25">
      <c r="A46" s="4" t="s">
        <v>65</v>
      </c>
      <c r="B46" s="4"/>
      <c r="C46" s="4"/>
      <c r="D46" s="4"/>
      <c r="E46" s="34">
        <v>232.89</v>
      </c>
      <c r="F46" s="34">
        <v>164.2</v>
      </c>
    </row>
    <row r="47" spans="1:6" x14ac:dyDescent="0.25">
      <c r="A47" s="4" t="s">
        <v>47</v>
      </c>
      <c r="B47" s="4">
        <v>0</v>
      </c>
      <c r="C47" s="9">
        <v>46023</v>
      </c>
      <c r="D47" s="4" t="s">
        <v>20</v>
      </c>
      <c r="E47" s="34"/>
      <c r="F47" s="34">
        <v>0</v>
      </c>
    </row>
    <row r="48" spans="1:6" x14ac:dyDescent="0.25">
      <c r="A48" s="4" t="s">
        <v>66</v>
      </c>
      <c r="B48" s="4"/>
      <c r="C48" s="4"/>
      <c r="D48" s="4"/>
      <c r="E48" s="34"/>
      <c r="F48" s="34">
        <v>0</v>
      </c>
    </row>
    <row r="49" spans="1:6" x14ac:dyDescent="0.25">
      <c r="A49" s="4" t="s">
        <v>159</v>
      </c>
      <c r="B49" s="4">
        <v>0</v>
      </c>
      <c r="C49" s="9">
        <v>46055</v>
      </c>
      <c r="D49" s="4" t="s">
        <v>159</v>
      </c>
      <c r="E49" s="34"/>
      <c r="F49" s="34">
        <v>825</v>
      </c>
    </row>
    <row r="50" spans="1:6" x14ac:dyDescent="0.25">
      <c r="A50" s="4" t="s">
        <v>160</v>
      </c>
      <c r="B50" s="4"/>
      <c r="C50" s="4"/>
      <c r="D50" s="4"/>
      <c r="E50" s="34"/>
      <c r="F50" s="34">
        <v>825</v>
      </c>
    </row>
    <row r="51" spans="1:6" x14ac:dyDescent="0.25">
      <c r="A51" s="4" t="s">
        <v>67</v>
      </c>
      <c r="B51" s="4"/>
      <c r="C51" s="4"/>
      <c r="D51" s="4"/>
      <c r="E51" s="34">
        <v>3515.2699999999995</v>
      </c>
      <c r="F51" s="34">
        <v>7182.1799999999994</v>
      </c>
    </row>
  </sheetData>
  <autoFilter ref="I6:L15" xr:uid="{00000000-0009-0000-0000-000001000000}"/>
  <pageMargins left="0.25" right="0.25" top="0.75" bottom="0.75" header="0.3" footer="0.3"/>
  <pageSetup paperSize="9" orientation="landscape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2:O31"/>
  <sheetViews>
    <sheetView tabSelected="1" zoomScaleNormal="100" workbookViewId="0">
      <selection activeCell="O9" sqref="O9"/>
    </sheetView>
  </sheetViews>
  <sheetFormatPr baseColWidth="10" defaultColWidth="8.7109375" defaultRowHeight="15" x14ac:dyDescent="0.25"/>
  <cols>
    <col min="1" max="1" width="14.28515625" customWidth="1"/>
    <col min="2" max="2" width="19.42578125" customWidth="1"/>
    <col min="3" max="3" width="11.42578125" bestFit="1" customWidth="1"/>
    <col min="4" max="4" width="13.28515625" customWidth="1"/>
    <col min="5" max="5" width="32.140625" bestFit="1" customWidth="1"/>
    <col min="6" max="6" width="13.42578125" customWidth="1"/>
    <col min="7" max="7" width="14.85546875" customWidth="1"/>
    <col min="12" max="12" width="18.85546875" customWidth="1"/>
    <col min="13" max="13" width="11.28515625" bestFit="1" customWidth="1"/>
    <col min="14" max="14" width="13" customWidth="1"/>
    <col min="15" max="15" width="12.140625" customWidth="1"/>
  </cols>
  <sheetData>
    <row r="2" spans="1:15" x14ac:dyDescent="0.25">
      <c r="A2" s="10" t="s">
        <v>10</v>
      </c>
      <c r="B2" s="10" t="s">
        <v>11</v>
      </c>
      <c r="C2" s="10" t="s">
        <v>0</v>
      </c>
      <c r="D2" s="10" t="s">
        <v>1</v>
      </c>
      <c r="E2" s="10" t="s">
        <v>2</v>
      </c>
      <c r="F2" s="4" t="s">
        <v>50</v>
      </c>
      <c r="G2" s="4" t="s">
        <v>51</v>
      </c>
    </row>
    <row r="3" spans="1:15" x14ac:dyDescent="0.25">
      <c r="A3" s="4" t="s">
        <v>37</v>
      </c>
      <c r="B3" s="4" t="s">
        <v>39</v>
      </c>
      <c r="C3" s="4">
        <v>154</v>
      </c>
      <c r="D3" s="9">
        <v>45966</v>
      </c>
      <c r="E3" s="4" t="s">
        <v>34</v>
      </c>
      <c r="F3" s="34"/>
      <c r="G3" s="34">
        <v>400</v>
      </c>
    </row>
    <row r="4" spans="1:15" x14ac:dyDescent="0.25">
      <c r="A4" s="4"/>
      <c r="B4" s="4"/>
      <c r="C4" s="4">
        <v>200</v>
      </c>
      <c r="D4" s="9">
        <v>46003</v>
      </c>
      <c r="E4" s="4" t="s">
        <v>48</v>
      </c>
      <c r="F4" s="34">
        <v>400</v>
      </c>
      <c r="G4" s="34"/>
    </row>
    <row r="5" spans="1:15" x14ac:dyDescent="0.25">
      <c r="A5" s="4"/>
      <c r="B5" s="4" t="s">
        <v>68</v>
      </c>
      <c r="C5" s="4"/>
      <c r="D5" s="4"/>
      <c r="E5" s="4"/>
      <c r="F5" s="34">
        <v>400</v>
      </c>
      <c r="G5" s="34">
        <v>400</v>
      </c>
      <c r="L5" s="6" t="s">
        <v>52</v>
      </c>
      <c r="M5" s="6" t="s">
        <v>3</v>
      </c>
      <c r="N5" s="6" t="s">
        <v>4</v>
      </c>
      <c r="O5" s="6" t="s">
        <v>53</v>
      </c>
    </row>
    <row r="6" spans="1:15" x14ac:dyDescent="0.25">
      <c r="A6" s="4"/>
      <c r="B6" s="4" t="s">
        <v>44</v>
      </c>
      <c r="C6" s="4">
        <v>29</v>
      </c>
      <c r="D6" s="9">
        <v>46080</v>
      </c>
      <c r="E6" s="4" t="s">
        <v>163</v>
      </c>
      <c r="F6" s="34">
        <v>400</v>
      </c>
      <c r="G6" s="34"/>
      <c r="L6" s="35" t="s">
        <v>39</v>
      </c>
      <c r="M6" s="36">
        <f>VLOOKUP("Total CANDELA",B3:F500,5,FALSE)</f>
        <v>400</v>
      </c>
      <c r="N6" s="36">
        <f>VLOOKUP("Total CANDELA",B3:G500,6,FALSE)</f>
        <v>400</v>
      </c>
      <c r="O6" s="36">
        <f>N6-M6</f>
        <v>0</v>
      </c>
    </row>
    <row r="7" spans="1:15" x14ac:dyDescent="0.25">
      <c r="A7" s="4"/>
      <c r="B7" s="4"/>
      <c r="C7" s="4">
        <v>157</v>
      </c>
      <c r="D7" s="9">
        <v>45966</v>
      </c>
      <c r="E7" s="4" t="s">
        <v>34</v>
      </c>
      <c r="F7" s="34"/>
      <c r="G7" s="34">
        <v>400</v>
      </c>
      <c r="L7" s="7" t="s">
        <v>44</v>
      </c>
      <c r="M7" s="8">
        <f>VLOOKUP("Total CHRISTOPHER",B3:F500,5,FALSE)</f>
        <v>400</v>
      </c>
      <c r="N7" s="8">
        <f>VLOOKUP("Total CHRISTOPHER",B3:G500,6,FALSE)</f>
        <v>400</v>
      </c>
      <c r="O7" s="8">
        <f>N7-M7</f>
        <v>0</v>
      </c>
    </row>
    <row r="8" spans="1:15" x14ac:dyDescent="0.25">
      <c r="A8" s="4"/>
      <c r="B8" s="4" t="s">
        <v>69</v>
      </c>
      <c r="C8" s="4"/>
      <c r="D8" s="4"/>
      <c r="E8" s="4"/>
      <c r="F8" s="34">
        <v>400</v>
      </c>
      <c r="G8" s="34">
        <v>400</v>
      </c>
      <c r="L8" s="35" t="s">
        <v>70</v>
      </c>
      <c r="M8" s="36">
        <f>VLOOKUP("Total MATHIAS",B3:F501,5,FALSE)</f>
        <v>400</v>
      </c>
      <c r="N8" s="36">
        <f>VLOOKUP("Total MATHIAS",B3:G501,6,FALSE)</f>
        <v>400</v>
      </c>
      <c r="O8" s="36">
        <f>N8-M8</f>
        <v>0</v>
      </c>
    </row>
    <row r="9" spans="1:15" x14ac:dyDescent="0.25">
      <c r="A9" s="4"/>
      <c r="B9" s="4" t="s">
        <v>38</v>
      </c>
      <c r="C9" s="4">
        <v>16</v>
      </c>
      <c r="D9" s="9">
        <v>46058</v>
      </c>
      <c r="E9" s="4" t="s">
        <v>48</v>
      </c>
      <c r="F9" s="34">
        <v>105</v>
      </c>
      <c r="G9" s="34"/>
      <c r="L9" s="7" t="s">
        <v>38</v>
      </c>
      <c r="M9" s="8">
        <f>VLOOKUP("Total ROI",B3:F500,5,FALSE)</f>
        <v>665</v>
      </c>
      <c r="N9" s="8">
        <f>VLOOKUP("Total ROI",B3:G500,6,FALSE)</f>
        <v>1313</v>
      </c>
      <c r="O9" s="8">
        <f>N9-M9</f>
        <v>648</v>
      </c>
    </row>
    <row r="10" spans="1:15" x14ac:dyDescent="0.25">
      <c r="A10" s="4"/>
      <c r="B10" s="4"/>
      <c r="C10" s="4">
        <v>34</v>
      </c>
      <c r="D10" s="9">
        <v>46090</v>
      </c>
      <c r="E10" s="4" t="s">
        <v>48</v>
      </c>
      <c r="F10" s="34">
        <v>140</v>
      </c>
      <c r="G10" s="34"/>
      <c r="L10" s="35" t="s">
        <v>40</v>
      </c>
      <c r="M10" s="36">
        <f>VLOOKUP("Total SAMARA",B3:F500,5,FALSE)</f>
        <v>968</v>
      </c>
      <c r="N10" s="36">
        <f>VLOOKUP("Total SAMARA",B3:G500,6,FALSE)</f>
        <v>2226</v>
      </c>
      <c r="O10" s="36">
        <f>N10-M10</f>
        <v>1258</v>
      </c>
    </row>
    <row r="11" spans="1:15" x14ac:dyDescent="0.25">
      <c r="A11" s="4"/>
      <c r="B11" s="4"/>
      <c r="C11" s="4">
        <v>153</v>
      </c>
      <c r="D11" s="9">
        <v>45966</v>
      </c>
      <c r="E11" s="4" t="s">
        <v>34</v>
      </c>
      <c r="F11" s="34"/>
      <c r="G11" s="34">
        <v>1313</v>
      </c>
    </row>
    <row r="12" spans="1:15" x14ac:dyDescent="0.25">
      <c r="A12" s="4"/>
      <c r="B12" s="4"/>
      <c r="C12" s="4">
        <v>164</v>
      </c>
      <c r="D12" s="9">
        <v>45971</v>
      </c>
      <c r="E12" s="4" t="s">
        <v>48</v>
      </c>
      <c r="F12" s="34">
        <v>140</v>
      </c>
      <c r="G12" s="34"/>
    </row>
    <row r="13" spans="1:15" x14ac:dyDescent="0.25">
      <c r="A13" s="4"/>
      <c r="B13" s="4"/>
      <c r="C13" s="4">
        <v>198</v>
      </c>
      <c r="D13" s="9">
        <v>46003</v>
      </c>
      <c r="E13" s="4" t="s">
        <v>48</v>
      </c>
      <c r="F13" s="34">
        <v>175</v>
      </c>
      <c r="G13" s="34"/>
    </row>
    <row r="14" spans="1:15" x14ac:dyDescent="0.25">
      <c r="A14" s="4"/>
      <c r="B14" s="4"/>
      <c r="C14" s="4">
        <v>201</v>
      </c>
      <c r="D14" s="9">
        <v>46003</v>
      </c>
      <c r="E14" s="4" t="s">
        <v>48</v>
      </c>
      <c r="F14" s="34">
        <v>105</v>
      </c>
      <c r="G14" s="34"/>
    </row>
    <row r="15" spans="1:15" x14ac:dyDescent="0.25">
      <c r="A15" s="4"/>
      <c r="B15" s="4" t="s">
        <v>71</v>
      </c>
      <c r="C15" s="4"/>
      <c r="D15" s="4"/>
      <c r="E15" s="4"/>
      <c r="F15" s="34">
        <v>665</v>
      </c>
      <c r="G15" s="34">
        <v>1313</v>
      </c>
    </row>
    <row r="16" spans="1:15" x14ac:dyDescent="0.25">
      <c r="A16" s="4"/>
      <c r="B16" s="4" t="s">
        <v>40</v>
      </c>
      <c r="C16" s="4">
        <v>11</v>
      </c>
      <c r="D16" s="9">
        <v>46051</v>
      </c>
      <c r="E16" s="4" t="s">
        <v>148</v>
      </c>
      <c r="F16" s="34">
        <v>80</v>
      </c>
      <c r="G16" s="34"/>
    </row>
    <row r="17" spans="1:7" x14ac:dyDescent="0.25">
      <c r="A17" s="4"/>
      <c r="B17" s="4"/>
      <c r="C17" s="4">
        <v>17</v>
      </c>
      <c r="D17" s="9">
        <v>46058</v>
      </c>
      <c r="E17" s="4" t="s">
        <v>48</v>
      </c>
      <c r="F17" s="34">
        <v>35</v>
      </c>
      <c r="G17" s="34"/>
    </row>
    <row r="18" spans="1:7" x14ac:dyDescent="0.25">
      <c r="A18" s="4"/>
      <c r="B18" s="4"/>
      <c r="C18" s="4">
        <v>28</v>
      </c>
      <c r="D18" s="9">
        <v>46080</v>
      </c>
      <c r="E18" s="4" t="s">
        <v>162</v>
      </c>
      <c r="F18" s="34">
        <v>160</v>
      </c>
      <c r="G18" s="34"/>
    </row>
    <row r="19" spans="1:7" x14ac:dyDescent="0.25">
      <c r="A19" s="4"/>
      <c r="B19" s="4"/>
      <c r="C19" s="4">
        <v>33</v>
      </c>
      <c r="D19" s="9">
        <v>46090</v>
      </c>
      <c r="E19" s="4" t="s">
        <v>48</v>
      </c>
      <c r="F19" s="34">
        <v>105</v>
      </c>
      <c r="G19" s="34"/>
    </row>
    <row r="20" spans="1:7" x14ac:dyDescent="0.25">
      <c r="A20" s="4"/>
      <c r="B20" s="4"/>
      <c r="C20" s="4">
        <v>155</v>
      </c>
      <c r="D20" s="9">
        <v>45966</v>
      </c>
      <c r="E20" s="4" t="s">
        <v>34</v>
      </c>
      <c r="F20" s="34"/>
      <c r="G20" s="34">
        <v>2226</v>
      </c>
    </row>
    <row r="21" spans="1:7" x14ac:dyDescent="0.25">
      <c r="A21" s="4"/>
      <c r="B21" s="4"/>
      <c r="C21" s="4">
        <v>165</v>
      </c>
      <c r="D21" s="9">
        <v>45971</v>
      </c>
      <c r="E21" s="4" t="s">
        <v>48</v>
      </c>
      <c r="F21" s="34">
        <v>35</v>
      </c>
      <c r="G21" s="34"/>
    </row>
    <row r="22" spans="1:7" x14ac:dyDescent="0.25">
      <c r="A22" s="4"/>
      <c r="B22" s="4"/>
      <c r="C22" s="4">
        <v>197</v>
      </c>
      <c r="D22" s="9">
        <v>46003</v>
      </c>
      <c r="E22" s="4" t="s">
        <v>48</v>
      </c>
      <c r="F22" s="34">
        <v>175</v>
      </c>
      <c r="G22" s="34"/>
    </row>
    <row r="23" spans="1:7" x14ac:dyDescent="0.25">
      <c r="A23" s="4"/>
      <c r="B23" s="4"/>
      <c r="C23" s="4">
        <v>199</v>
      </c>
      <c r="D23" s="9">
        <v>46003</v>
      </c>
      <c r="E23" s="4" t="s">
        <v>48</v>
      </c>
      <c r="F23" s="34">
        <v>105</v>
      </c>
      <c r="G23" s="34"/>
    </row>
    <row r="24" spans="1:7" x14ac:dyDescent="0.25">
      <c r="A24" s="4"/>
      <c r="B24" s="4"/>
      <c r="C24" s="4">
        <v>220</v>
      </c>
      <c r="D24" s="9">
        <v>46031</v>
      </c>
      <c r="E24" s="4" t="s">
        <v>155</v>
      </c>
      <c r="F24" s="34">
        <v>153</v>
      </c>
      <c r="G24" s="34"/>
    </row>
    <row r="25" spans="1:7" x14ac:dyDescent="0.25">
      <c r="A25" s="4"/>
      <c r="B25" s="4"/>
      <c r="C25" s="4">
        <v>221</v>
      </c>
      <c r="D25" s="9">
        <v>46031</v>
      </c>
      <c r="E25" s="4" t="s">
        <v>156</v>
      </c>
      <c r="F25" s="34">
        <v>120</v>
      </c>
      <c r="G25" s="34"/>
    </row>
    <row r="26" spans="1:7" x14ac:dyDescent="0.25">
      <c r="A26" s="4"/>
      <c r="B26" s="4" t="s">
        <v>72</v>
      </c>
      <c r="C26" s="4"/>
      <c r="D26" s="4"/>
      <c r="E26" s="4"/>
      <c r="F26" s="34">
        <v>968</v>
      </c>
      <c r="G26" s="34">
        <v>2226</v>
      </c>
    </row>
    <row r="27" spans="1:7" x14ac:dyDescent="0.25">
      <c r="A27" s="4"/>
      <c r="B27" s="4" t="s">
        <v>70</v>
      </c>
      <c r="C27" s="4">
        <v>46</v>
      </c>
      <c r="D27" s="9">
        <v>46093</v>
      </c>
      <c r="E27" s="4" t="s">
        <v>164</v>
      </c>
      <c r="F27" s="34">
        <v>400</v>
      </c>
      <c r="G27" s="34"/>
    </row>
    <row r="28" spans="1:7" x14ac:dyDescent="0.25">
      <c r="A28" s="4"/>
      <c r="B28" s="4"/>
      <c r="C28" s="4">
        <v>156</v>
      </c>
      <c r="D28" s="9">
        <v>45966</v>
      </c>
      <c r="E28" s="4" t="s">
        <v>34</v>
      </c>
      <c r="F28" s="34"/>
      <c r="G28" s="34">
        <v>400</v>
      </c>
    </row>
    <row r="29" spans="1:7" x14ac:dyDescent="0.25">
      <c r="A29" s="4"/>
      <c r="B29" s="4" t="s">
        <v>149</v>
      </c>
      <c r="C29" s="4"/>
      <c r="D29" s="4"/>
      <c r="E29" s="4"/>
      <c r="F29" s="34">
        <v>400</v>
      </c>
      <c r="G29" s="34">
        <v>400</v>
      </c>
    </row>
    <row r="30" spans="1:7" x14ac:dyDescent="0.25">
      <c r="A30" s="4" t="s">
        <v>55</v>
      </c>
      <c r="B30" s="4"/>
      <c r="C30" s="4"/>
      <c r="D30" s="4"/>
      <c r="E30" s="4"/>
      <c r="F30" s="34">
        <v>2833</v>
      </c>
      <c r="G30" s="34">
        <v>4739</v>
      </c>
    </row>
    <row r="31" spans="1:7" x14ac:dyDescent="0.25">
      <c r="A31" s="4" t="s">
        <v>67</v>
      </c>
      <c r="B31" s="4"/>
      <c r="C31" s="4"/>
      <c r="D31" s="4"/>
      <c r="E31" s="4"/>
      <c r="F31" s="34">
        <v>2833</v>
      </c>
      <c r="G31" s="34">
        <v>4739</v>
      </c>
    </row>
  </sheetData>
  <pageMargins left="0.7" right="0.7" top="0.75" bottom="0.75" header="0.3" footer="0.3"/>
  <pageSetup paperSize="9" orientation="landscape" horizontalDpi="360" verticalDpi="36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5"/>
  <sheetViews>
    <sheetView topLeftCell="B2" workbookViewId="0">
      <selection activeCell="E5" sqref="E5"/>
    </sheetView>
  </sheetViews>
  <sheetFormatPr baseColWidth="10" defaultColWidth="8.7109375" defaultRowHeight="15" x14ac:dyDescent="0.25"/>
  <cols>
    <col min="2" max="2" width="31.5703125" customWidth="1"/>
    <col min="5" max="5" width="72.42578125" customWidth="1"/>
  </cols>
  <sheetData>
    <row r="1" spans="1:5" x14ac:dyDescent="0.25">
      <c r="A1" t="s">
        <v>73</v>
      </c>
      <c r="B1" t="s">
        <v>74</v>
      </c>
      <c r="E1" s="11" t="s">
        <v>10</v>
      </c>
    </row>
    <row r="2" spans="1:5" x14ac:dyDescent="0.25">
      <c r="A2" s="2" t="s">
        <v>75</v>
      </c>
      <c r="B2" t="s">
        <v>76</v>
      </c>
      <c r="E2" s="1" t="s">
        <v>37</v>
      </c>
    </row>
    <row r="3" spans="1:5" x14ac:dyDescent="0.25">
      <c r="A3" s="2" t="s">
        <v>77</v>
      </c>
      <c r="B3" t="s">
        <v>78</v>
      </c>
      <c r="E3" s="3" t="s">
        <v>19</v>
      </c>
    </row>
    <row r="4" spans="1:5" x14ac:dyDescent="0.25">
      <c r="A4" s="2" t="s">
        <v>79</v>
      </c>
      <c r="B4" t="s">
        <v>80</v>
      </c>
      <c r="E4" s="1" t="s">
        <v>24</v>
      </c>
    </row>
    <row r="5" spans="1:5" x14ac:dyDescent="0.25">
      <c r="A5" s="2" t="s">
        <v>45</v>
      </c>
      <c r="B5" t="s">
        <v>46</v>
      </c>
      <c r="E5" s="1" t="s">
        <v>30</v>
      </c>
    </row>
    <row r="6" spans="1:5" x14ac:dyDescent="0.25">
      <c r="A6" s="2" t="s">
        <v>81</v>
      </c>
      <c r="B6" t="s">
        <v>82</v>
      </c>
      <c r="E6" s="1" t="s">
        <v>22</v>
      </c>
    </row>
    <row r="7" spans="1:5" x14ac:dyDescent="0.25">
      <c r="A7" s="2" t="s">
        <v>83</v>
      </c>
      <c r="B7" t="s">
        <v>84</v>
      </c>
      <c r="E7" s="12" t="s">
        <v>85</v>
      </c>
    </row>
    <row r="8" spans="1:5" x14ac:dyDescent="0.25">
      <c r="A8" s="2" t="s">
        <v>86</v>
      </c>
      <c r="B8" t="s">
        <v>87</v>
      </c>
      <c r="E8" s="1" t="s">
        <v>43</v>
      </c>
    </row>
    <row r="9" spans="1:5" x14ac:dyDescent="0.25">
      <c r="A9" s="2" t="s">
        <v>88</v>
      </c>
      <c r="B9" t="s">
        <v>89</v>
      </c>
      <c r="E9" s="1" t="s">
        <v>26</v>
      </c>
    </row>
    <row r="10" spans="1:5" x14ac:dyDescent="0.25">
      <c r="A10" s="2" t="s">
        <v>90</v>
      </c>
      <c r="B10" t="s">
        <v>91</v>
      </c>
      <c r="E10" s="12" t="s">
        <v>49</v>
      </c>
    </row>
    <row r="11" spans="1:5" x14ac:dyDescent="0.25">
      <c r="A11" s="2" t="s">
        <v>92</v>
      </c>
      <c r="B11" t="s">
        <v>93</v>
      </c>
      <c r="E11" s="13" t="s">
        <v>21</v>
      </c>
    </row>
    <row r="12" spans="1:5" x14ac:dyDescent="0.25">
      <c r="A12" s="2" t="s">
        <v>94</v>
      </c>
      <c r="B12" t="s">
        <v>95</v>
      </c>
      <c r="E12" s="13" t="s">
        <v>28</v>
      </c>
    </row>
    <row r="13" spans="1:5" x14ac:dyDescent="0.25">
      <c r="A13" s="2" t="s">
        <v>96</v>
      </c>
      <c r="B13" t="s">
        <v>97</v>
      </c>
      <c r="E13" t="s">
        <v>47</v>
      </c>
    </row>
    <row r="14" spans="1:5" x14ac:dyDescent="0.25">
      <c r="A14" s="2" t="s">
        <v>98</v>
      </c>
      <c r="B14" t="s">
        <v>99</v>
      </c>
      <c r="E14" t="s">
        <v>159</v>
      </c>
    </row>
    <row r="15" spans="1:5" x14ac:dyDescent="0.25">
      <c r="A15" s="2" t="s">
        <v>100</v>
      </c>
      <c r="B15" t="s">
        <v>101</v>
      </c>
    </row>
    <row r="16" spans="1:5" x14ac:dyDescent="0.25">
      <c r="A16" s="2" t="s">
        <v>102</v>
      </c>
      <c r="B16" t="s">
        <v>103</v>
      </c>
    </row>
    <row r="17" spans="1:5" x14ac:dyDescent="0.25">
      <c r="A17" s="2" t="s">
        <v>104</v>
      </c>
      <c r="B17" t="s">
        <v>105</v>
      </c>
    </row>
    <row r="18" spans="1:5" x14ac:dyDescent="0.25">
      <c r="A18" s="2" t="s">
        <v>32</v>
      </c>
      <c r="B18" t="s">
        <v>33</v>
      </c>
    </row>
    <row r="19" spans="1:5" x14ac:dyDescent="0.25">
      <c r="A19" s="2" t="s">
        <v>106</v>
      </c>
      <c r="B19" t="s">
        <v>107</v>
      </c>
    </row>
    <row r="20" spans="1:5" x14ac:dyDescent="0.25">
      <c r="A20" s="2" t="s">
        <v>108</v>
      </c>
      <c r="B20" t="s">
        <v>109</v>
      </c>
    </row>
    <row r="21" spans="1:5" x14ac:dyDescent="0.25">
      <c r="A21" s="2" t="s">
        <v>110</v>
      </c>
      <c r="B21" t="s">
        <v>111</v>
      </c>
    </row>
    <row r="22" spans="1:5" x14ac:dyDescent="0.25">
      <c r="A22" s="2" t="s">
        <v>112</v>
      </c>
      <c r="B22" s="2" t="s">
        <v>125</v>
      </c>
    </row>
    <row r="23" spans="1:5" x14ac:dyDescent="0.25">
      <c r="A23" s="2" t="s">
        <v>113</v>
      </c>
      <c r="B23" s="2" t="s">
        <v>126</v>
      </c>
    </row>
    <row r="24" spans="1:5" x14ac:dyDescent="0.25">
      <c r="A24" s="2" t="s">
        <v>114</v>
      </c>
      <c r="B24" s="2" t="s">
        <v>127</v>
      </c>
    </row>
    <row r="25" spans="1:5" x14ac:dyDescent="0.25">
      <c r="A25" s="2" t="s">
        <v>41</v>
      </c>
      <c r="B25" t="s">
        <v>42</v>
      </c>
    </row>
    <row r="26" spans="1:5" x14ac:dyDescent="0.25">
      <c r="A26" s="2" t="s">
        <v>128</v>
      </c>
      <c r="B26" s="2" t="s">
        <v>129</v>
      </c>
    </row>
    <row r="27" spans="1:5" x14ac:dyDescent="0.25">
      <c r="A27" s="2" t="s">
        <v>130</v>
      </c>
      <c r="B27" s="2" t="s">
        <v>131</v>
      </c>
    </row>
    <row r="28" spans="1:5" x14ac:dyDescent="0.25">
      <c r="A28" s="2" t="s">
        <v>132</v>
      </c>
      <c r="B28" s="2" t="s">
        <v>133</v>
      </c>
    </row>
    <row r="29" spans="1:5" x14ac:dyDescent="0.25">
      <c r="A29" s="2" t="s">
        <v>134</v>
      </c>
      <c r="B29" s="2" t="s">
        <v>135</v>
      </c>
    </row>
    <row r="30" spans="1:5" x14ac:dyDescent="0.25">
      <c r="A30" s="2" t="s">
        <v>136</v>
      </c>
      <c r="B30" s="2" t="s">
        <v>137</v>
      </c>
    </row>
    <row r="31" spans="1:5" x14ac:dyDescent="0.25">
      <c r="A31" s="2" t="s">
        <v>35</v>
      </c>
      <c r="B31" t="s">
        <v>36</v>
      </c>
    </row>
    <row r="32" spans="1:5" x14ac:dyDescent="0.25">
      <c r="A32" s="2" t="s">
        <v>115</v>
      </c>
      <c r="B32" s="2" t="s">
        <v>138</v>
      </c>
      <c r="E32" s="1"/>
    </row>
    <row r="33" spans="1:5" x14ac:dyDescent="0.25">
      <c r="A33" t="s">
        <v>116</v>
      </c>
      <c r="B33" s="2" t="s">
        <v>139</v>
      </c>
      <c r="E33" s="1"/>
    </row>
    <row r="34" spans="1:5" x14ac:dyDescent="0.25">
      <c r="A34" t="s">
        <v>117</v>
      </c>
      <c r="B34" s="2" t="s">
        <v>140</v>
      </c>
      <c r="E34" s="1"/>
    </row>
    <row r="35" spans="1:5" x14ac:dyDescent="0.25">
      <c r="A35" t="s">
        <v>118</v>
      </c>
      <c r="B35" s="2" t="s">
        <v>141</v>
      </c>
    </row>
    <row r="36" spans="1:5" x14ac:dyDescent="0.25">
      <c r="A36" t="s">
        <v>31</v>
      </c>
      <c r="B36" s="2" t="s">
        <v>142</v>
      </c>
    </row>
    <row r="37" spans="1:5" x14ac:dyDescent="0.25">
      <c r="A37" t="s">
        <v>119</v>
      </c>
      <c r="B37" s="2" t="s">
        <v>143</v>
      </c>
    </row>
    <row r="38" spans="1:5" x14ac:dyDescent="0.25">
      <c r="A38" t="s">
        <v>18</v>
      </c>
      <c r="B38" s="2" t="s">
        <v>144</v>
      </c>
    </row>
    <row r="39" spans="1:5" x14ac:dyDescent="0.25">
      <c r="A39" t="s">
        <v>120</v>
      </c>
      <c r="B39" s="2" t="s">
        <v>145</v>
      </c>
    </row>
    <row r="40" spans="1:5" x14ac:dyDescent="0.25">
      <c r="A40" t="s">
        <v>121</v>
      </c>
      <c r="B40" t="s">
        <v>122</v>
      </c>
    </row>
    <row r="41" spans="1:5" x14ac:dyDescent="0.25">
      <c r="A41" t="s">
        <v>123</v>
      </c>
      <c r="B41" s="2" t="s">
        <v>146</v>
      </c>
    </row>
    <row r="45" spans="1:5" x14ac:dyDescent="0.25">
      <c r="E45" s="1"/>
    </row>
    <row r="46" spans="1:5" x14ac:dyDescent="0.25">
      <c r="E46" s="1"/>
    </row>
    <row r="47" spans="1:5" x14ac:dyDescent="0.25">
      <c r="E47" s="1"/>
    </row>
    <row r="48" spans="1:5" x14ac:dyDescent="0.25">
      <c r="E48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</sheetData>
  <sortState xmlns:xlrd2="http://schemas.microsoft.com/office/spreadsheetml/2017/richdata2" ref="E3:E12">
    <sortCondition ref="E3:E12"/>
  </sortState>
  <pageMargins left="0.7" right="0.7" top="0.75" bottom="0.75" header="0.3" footer="0.3"/>
  <ignoredErrors>
    <ignoredError sqref="A17:A21 A2:A5 A12:A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FUNCIONAMENTO</vt:lpstr>
      <vt:lpstr>PARTIDA FINALISTA</vt:lpstr>
      <vt:lpstr>BECAS NEAE</vt:lpstr>
      <vt:lpstr>Codigo_NO BORRAR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</dc:creator>
  <cp:keywords/>
  <dc:description/>
  <cp:lastModifiedBy>ANTONIO</cp:lastModifiedBy>
  <cp:revision/>
  <cp:lastPrinted>2026-01-13T15:55:14Z</cp:lastPrinted>
  <dcterms:created xsi:type="dcterms:W3CDTF">2025-06-07T20:01:36Z</dcterms:created>
  <dcterms:modified xsi:type="dcterms:W3CDTF">2026-03-12T10:46:35Z</dcterms:modified>
  <cp:category/>
  <cp:contentStatus/>
</cp:coreProperties>
</file>